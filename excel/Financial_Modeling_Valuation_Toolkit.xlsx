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aanas.pab/Downloads/"/>
    </mc:Choice>
  </mc:AlternateContent>
  <xr:revisionPtr revIDLastSave="0" documentId="8_{2F14E307-E03F-A941-A4DD-3581B60CB3B9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README" sheetId="1" r:id="rId1"/>
    <sheet name="Assumptions" sheetId="2" r:id="rId2"/>
    <sheet name="Scenarios" sheetId="3" r:id="rId3"/>
    <sheet name="Model" sheetId="4" r:id="rId4"/>
    <sheet name="DCF" sheetId="5" r:id="rId5"/>
    <sheet name="Sensitivity" sheetId="6" r:id="rId6"/>
    <sheet name="Portfolio" sheetId="7" r:id="rId7"/>
    <sheet name="Check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7" l="1"/>
  <c r="B68" i="7"/>
  <c r="B67" i="7"/>
  <c r="B31" i="8" s="1"/>
  <c r="F62" i="7"/>
  <c r="E62" i="7"/>
  <c r="D62" i="7"/>
  <c r="C62" i="7"/>
  <c r="B62" i="7"/>
  <c r="F61" i="7"/>
  <c r="E61" i="7"/>
  <c r="D61" i="7"/>
  <c r="C61" i="7"/>
  <c r="B61" i="7"/>
  <c r="F60" i="7"/>
  <c r="E60" i="7"/>
  <c r="D60" i="7"/>
  <c r="C60" i="7"/>
  <c r="B60" i="7"/>
  <c r="F59" i="7"/>
  <c r="E59" i="7"/>
  <c r="D59" i="7"/>
  <c r="C59" i="7"/>
  <c r="B59" i="7"/>
  <c r="F58" i="7"/>
  <c r="E58" i="7"/>
  <c r="D58" i="7"/>
  <c r="C58" i="7"/>
  <c r="B58" i="7"/>
  <c r="F54" i="7"/>
  <c r="E54" i="7"/>
  <c r="D54" i="7"/>
  <c r="C54" i="7"/>
  <c r="B54" i="7"/>
  <c r="F53" i="7"/>
  <c r="E53" i="7"/>
  <c r="D53" i="7"/>
  <c r="C53" i="7"/>
  <c r="B53" i="7"/>
  <c r="F52" i="7"/>
  <c r="E52" i="7"/>
  <c r="D52" i="7"/>
  <c r="C52" i="7"/>
  <c r="B52" i="7"/>
  <c r="F51" i="7"/>
  <c r="E51" i="7"/>
  <c r="D51" i="7"/>
  <c r="C51" i="7"/>
  <c r="B51" i="7"/>
  <c r="F50" i="7"/>
  <c r="E50" i="7"/>
  <c r="D50" i="7"/>
  <c r="C50" i="7"/>
  <c r="B50" i="7"/>
  <c r="F46" i="7"/>
  <c r="E46" i="7"/>
  <c r="D46" i="7"/>
  <c r="C46" i="7"/>
  <c r="B46" i="7"/>
  <c r="F45" i="7"/>
  <c r="B81" i="7" s="1"/>
  <c r="E45" i="7"/>
  <c r="B80" i="7" s="1"/>
  <c r="D45" i="7"/>
  <c r="B79" i="7" s="1"/>
  <c r="C45" i="7"/>
  <c r="B78" i="7" s="1"/>
  <c r="B45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I6" i="7" s="1"/>
  <c r="F16" i="6"/>
  <c r="E16" i="6"/>
  <c r="C43" i="5"/>
  <c r="B43" i="5"/>
  <c r="B31" i="5"/>
  <c r="C16" i="6" s="1"/>
  <c r="B12" i="5"/>
  <c r="B13" i="5" s="1"/>
  <c r="B10" i="5"/>
  <c r="B9" i="5"/>
  <c r="B7" i="5"/>
  <c r="B5" i="5"/>
  <c r="B60" i="4"/>
  <c r="I56" i="4"/>
  <c r="H56" i="4"/>
  <c r="G56" i="4"/>
  <c r="F56" i="4"/>
  <c r="E56" i="4"/>
  <c r="D56" i="4"/>
  <c r="C56" i="4"/>
  <c r="B56" i="4"/>
  <c r="I38" i="4"/>
  <c r="H38" i="4"/>
  <c r="G38" i="4"/>
  <c r="F38" i="4"/>
  <c r="E38" i="4"/>
  <c r="D38" i="4"/>
  <c r="C38" i="4"/>
  <c r="B38" i="4"/>
  <c r="B35" i="4"/>
  <c r="I34" i="4"/>
  <c r="H34" i="4"/>
  <c r="G34" i="4"/>
  <c r="F34" i="4"/>
  <c r="E34" i="4"/>
  <c r="D34" i="4"/>
  <c r="C34" i="4"/>
  <c r="B34" i="4"/>
  <c r="I21" i="4"/>
  <c r="H21" i="4"/>
  <c r="G21" i="4"/>
  <c r="F21" i="4"/>
  <c r="B41" i="5" s="1"/>
  <c r="C41" i="5" s="1"/>
  <c r="E21" i="4"/>
  <c r="D21" i="4"/>
  <c r="C21" i="4"/>
  <c r="B21" i="4"/>
  <c r="B16" i="4"/>
  <c r="B6" i="4"/>
  <c r="C52" i="2"/>
  <c r="B16" i="2"/>
  <c r="I7" i="7" l="1"/>
  <c r="J6" i="7"/>
  <c r="J7" i="7" s="1"/>
  <c r="K6" i="7"/>
  <c r="B56" i="2"/>
  <c r="F52" i="2"/>
  <c r="B55" i="2"/>
  <c r="B16" i="6"/>
  <c r="D52" i="2"/>
  <c r="B8" i="4"/>
  <c r="B54" i="4"/>
  <c r="B14" i="4"/>
  <c r="B46" i="4" s="1"/>
  <c r="C6" i="4"/>
  <c r="B36" i="4"/>
  <c r="B52" i="4" s="1"/>
  <c r="B52" i="2"/>
  <c r="B33" i="4"/>
  <c r="B51" i="4" s="1"/>
  <c r="B8" i="5"/>
  <c r="B14" i="5" s="1"/>
  <c r="D16" i="6"/>
  <c r="E52" i="2"/>
  <c r="B26" i="4"/>
  <c r="B47" i="4" s="1"/>
  <c r="B53" i="2"/>
  <c r="B22" i="8"/>
  <c r="B23" i="8" s="1"/>
  <c r="C35" i="4"/>
  <c r="B9" i="4"/>
  <c r="B54" i="2"/>
  <c r="B28" i="4"/>
  <c r="B49" i="4" s="1"/>
  <c r="B57" i="2"/>
  <c r="B6" i="5" s="1"/>
  <c r="B11" i="4"/>
  <c r="C16" i="4"/>
  <c r="B79" i="2"/>
  <c r="B26" i="5" s="1"/>
  <c r="D77" i="7" a="1"/>
  <c r="E77" i="7" a="1"/>
  <c r="B70" i="7" a="1"/>
  <c r="B70" i="7" s="1"/>
  <c r="B71" i="7" s="1"/>
  <c r="B130" i="7" s="1"/>
  <c r="B69" i="7"/>
  <c r="B11" i="5"/>
  <c r="A18" i="6" l="1"/>
  <c r="C20" i="5"/>
  <c r="A21" i="6"/>
  <c r="B20" i="5"/>
  <c r="A19" i="6"/>
  <c r="A10" i="6"/>
  <c r="F20" i="5"/>
  <c r="A8" i="6"/>
  <c r="E20" i="5"/>
  <c r="A11" i="6"/>
  <c r="A7" i="6"/>
  <c r="A17" i="6"/>
  <c r="A9" i="6"/>
  <c r="A20" i="6"/>
  <c r="D20" i="5"/>
  <c r="D79" i="7"/>
  <c r="D77" i="7"/>
  <c r="D81" i="7"/>
  <c r="D80" i="7"/>
  <c r="D78" i="7"/>
  <c r="D35" i="4"/>
  <c r="C22" i="8"/>
  <c r="C23" i="8" s="1"/>
  <c r="D16" i="4"/>
  <c r="B32" i="8"/>
  <c r="C130" i="7"/>
  <c r="B72" i="7"/>
  <c r="B55" i="4"/>
  <c r="B30" i="4"/>
  <c r="E81" i="7"/>
  <c r="F96" i="7" s="1"/>
  <c r="E80" i="7"/>
  <c r="E96" i="7" s="1"/>
  <c r="E78" i="7"/>
  <c r="E79" i="7"/>
  <c r="D96" i="7" s="1"/>
  <c r="E77" i="7"/>
  <c r="B12" i="4"/>
  <c r="B10" i="4"/>
  <c r="B27" i="8"/>
  <c r="C6" i="6"/>
  <c r="B6" i="6"/>
  <c r="E6" i="6"/>
  <c r="F6" i="6"/>
  <c r="D6" i="6"/>
  <c r="B32" i="4"/>
  <c r="B27" i="4"/>
  <c r="B48" i="4" s="1"/>
  <c r="C28" i="4"/>
  <c r="C49" i="4" s="1"/>
  <c r="C7" i="4"/>
  <c r="C11" i="4"/>
  <c r="C9" i="4"/>
  <c r="C14" i="4"/>
  <c r="C46" i="4" s="1"/>
  <c r="C26" i="4"/>
  <c r="C47" i="4" s="1"/>
  <c r="C54" i="4"/>
  <c r="C55" i="4" s="1"/>
  <c r="C36" i="4"/>
  <c r="C52" i="4" s="1"/>
  <c r="C8" i="4"/>
  <c r="D6" i="4"/>
  <c r="C33" i="4"/>
  <c r="C51" i="4" s="1"/>
  <c r="I8" i="7"/>
  <c r="K7" i="7"/>
  <c r="B50" i="4" l="1"/>
  <c r="B64" i="4" s="1"/>
  <c r="B37" i="4"/>
  <c r="C12" i="4"/>
  <c r="C10" i="4"/>
  <c r="C30" i="4"/>
  <c r="D30" i="4" s="1"/>
  <c r="I9" i="7"/>
  <c r="B83" i="7"/>
  <c r="B84" i="7"/>
  <c r="D90" i="7"/>
  <c r="D8" i="4"/>
  <c r="D36" i="4"/>
  <c r="D52" i="4" s="1"/>
  <c r="D11" i="4"/>
  <c r="D28" i="4"/>
  <c r="D49" i="4" s="1"/>
  <c r="D26" i="4"/>
  <c r="D47" i="4" s="1"/>
  <c r="D14" i="4"/>
  <c r="D46" i="4" s="1"/>
  <c r="D7" i="4"/>
  <c r="D54" i="4"/>
  <c r="D55" i="4" s="1"/>
  <c r="D33" i="4"/>
  <c r="D51" i="4" s="1"/>
  <c r="E6" i="4"/>
  <c r="J8" i="7"/>
  <c r="J9" i="7" s="1"/>
  <c r="C27" i="4"/>
  <c r="C48" i="4" s="1"/>
  <c r="C32" i="4"/>
  <c r="B15" i="4"/>
  <c r="B13" i="4"/>
  <c r="B96" i="7"/>
  <c r="B85" i="7"/>
  <c r="D97" i="7"/>
  <c r="C96" i="7"/>
  <c r="C97" i="7" s="1"/>
  <c r="D22" i="8"/>
  <c r="D23" i="8" s="1"/>
  <c r="E35" i="4"/>
  <c r="B38" i="5"/>
  <c r="C38" i="5" s="1"/>
  <c r="E16" i="4"/>
  <c r="F6" i="4" l="1"/>
  <c r="E28" i="4"/>
  <c r="E49" i="4" s="1"/>
  <c r="E26" i="4"/>
  <c r="E47" i="4" s="1"/>
  <c r="E14" i="4"/>
  <c r="E46" i="4" s="1"/>
  <c r="E7" i="4"/>
  <c r="E54" i="4"/>
  <c r="E55" i="4" s="1"/>
  <c r="E33" i="4"/>
  <c r="E51" i="4" s="1"/>
  <c r="E11" i="4"/>
  <c r="E36" i="4"/>
  <c r="E52" i="4" s="1"/>
  <c r="E8" i="4"/>
  <c r="D32" i="4"/>
  <c r="D27" i="4"/>
  <c r="D48" i="4" s="1"/>
  <c r="C15" i="4"/>
  <c r="C13" i="4"/>
  <c r="E22" i="8"/>
  <c r="E23" i="8" s="1"/>
  <c r="F35" i="4"/>
  <c r="F16" i="4"/>
  <c r="B105" i="7"/>
  <c r="B106" i="7"/>
  <c r="B108" i="7"/>
  <c r="B92" i="7"/>
  <c r="B128" i="7" s="1"/>
  <c r="B86" i="7"/>
  <c r="E90" i="7"/>
  <c r="B97" i="7"/>
  <c r="B90" i="7"/>
  <c r="F97" i="7"/>
  <c r="K9" i="7"/>
  <c r="I10" i="7"/>
  <c r="C90" i="7"/>
  <c r="B17" i="4"/>
  <c r="B65" i="4"/>
  <c r="K8" i="7"/>
  <c r="E97" i="7"/>
  <c r="C50" i="4"/>
  <c r="C64" i="4" s="1"/>
  <c r="C37" i="4"/>
  <c r="D9" i="4"/>
  <c r="F90" i="7"/>
  <c r="I11" i="7" l="1"/>
  <c r="D12" i="4"/>
  <c r="D10" i="4"/>
  <c r="C65" i="4"/>
  <c r="C17" i="4"/>
  <c r="B33" i="8"/>
  <c r="B91" i="7"/>
  <c r="D50" i="4"/>
  <c r="D64" i="4" s="1"/>
  <c r="D37" i="4"/>
  <c r="F36" i="4"/>
  <c r="F52" i="4" s="1"/>
  <c r="F26" i="4"/>
  <c r="F47" i="4" s="1"/>
  <c r="F14" i="4"/>
  <c r="F46" i="4" s="1"/>
  <c r="F9" i="4"/>
  <c r="F28" i="4"/>
  <c r="F49" i="4" s="1"/>
  <c r="F8" i="4"/>
  <c r="F7" i="4"/>
  <c r="F54" i="4"/>
  <c r="F55" i="4" s="1"/>
  <c r="F33" i="4"/>
  <c r="F51" i="4" s="1"/>
  <c r="G6" i="4"/>
  <c r="F11" i="4"/>
  <c r="B34" i="8"/>
  <c r="B99" i="7" a="1"/>
  <c r="B99" i="7" s="1"/>
  <c r="B100" i="7" s="1"/>
  <c r="B129" i="7" s="1"/>
  <c r="B98" i="7"/>
  <c r="E32" i="4"/>
  <c r="E27" i="4"/>
  <c r="E48" i="4" s="1"/>
  <c r="E9" i="4"/>
  <c r="F107" i="7"/>
  <c r="E107" i="7"/>
  <c r="D107" i="7"/>
  <c r="C107" i="7"/>
  <c r="B107" i="7"/>
  <c r="J10" i="7"/>
  <c r="J11" i="7" s="1"/>
  <c r="E30" i="4"/>
  <c r="F30" i="4" s="1"/>
  <c r="B18" i="4"/>
  <c r="B19" i="4"/>
  <c r="F22" i="8"/>
  <c r="F23" i="8" s="1"/>
  <c r="G35" i="4"/>
  <c r="G16" i="4"/>
  <c r="A123" i="7" l="1"/>
  <c r="A113" i="7"/>
  <c r="A119" i="7"/>
  <c r="A122" i="7"/>
  <c r="A112" i="7"/>
  <c r="A125" i="7"/>
  <c r="A115" i="7"/>
  <c r="A118" i="7"/>
  <c r="A121" i="7"/>
  <c r="C128" i="7"/>
  <c r="A124" i="7"/>
  <c r="A114" i="7"/>
  <c r="A117" i="7"/>
  <c r="A120" i="7"/>
  <c r="A126" i="7"/>
  <c r="A116" i="7"/>
  <c r="B22" i="4"/>
  <c r="B45" i="4"/>
  <c r="B53" i="4" s="1"/>
  <c r="B20" i="4"/>
  <c r="B57" i="4" s="1"/>
  <c r="B58" i="4" s="1"/>
  <c r="E10" i="4"/>
  <c r="E12" i="4"/>
  <c r="F32" i="4"/>
  <c r="F27" i="4"/>
  <c r="F48" i="4" s="1"/>
  <c r="G30" i="4"/>
  <c r="B101" i="7"/>
  <c r="C129" i="7"/>
  <c r="C18" i="4"/>
  <c r="C19" i="4" s="1"/>
  <c r="E50" i="4"/>
  <c r="E64" i="4" s="1"/>
  <c r="E37" i="4"/>
  <c r="F12" i="4"/>
  <c r="F10" i="4"/>
  <c r="D13" i="4"/>
  <c r="D15" i="4"/>
  <c r="G33" i="4"/>
  <c r="G51" i="4" s="1"/>
  <c r="G36" i="4"/>
  <c r="G52" i="4" s="1"/>
  <c r="G28" i="4"/>
  <c r="G49" i="4" s="1"/>
  <c r="G26" i="4"/>
  <c r="G47" i="4" s="1"/>
  <c r="G14" i="4"/>
  <c r="G46" i="4" s="1"/>
  <c r="G7" i="4"/>
  <c r="G54" i="4"/>
  <c r="G55" i="4" s="1"/>
  <c r="H6" i="4"/>
  <c r="G11" i="4"/>
  <c r="G9" i="4"/>
  <c r="G8" i="4"/>
  <c r="I12" i="7"/>
  <c r="K11" i="7"/>
  <c r="G22" i="8"/>
  <c r="G23" i="8" s="1"/>
  <c r="H35" i="4"/>
  <c r="H16" i="4"/>
  <c r="K10" i="7"/>
  <c r="C45" i="4" l="1"/>
  <c r="C53" i="4" s="1"/>
  <c r="C22" i="4"/>
  <c r="C20" i="4"/>
  <c r="C57" i="4" s="1"/>
  <c r="C58" i="4" s="1"/>
  <c r="B59" i="4"/>
  <c r="B61" i="4" s="1"/>
  <c r="B25" i="4" s="1"/>
  <c r="B121" i="7"/>
  <c r="C121" i="7" s="1"/>
  <c r="G32" i="4"/>
  <c r="G27" i="4"/>
  <c r="G48" i="4" s="1"/>
  <c r="B118" i="7"/>
  <c r="C118" i="7" s="1"/>
  <c r="B125" i="7"/>
  <c r="C125" i="7" s="1"/>
  <c r="I13" i="7"/>
  <c r="G12" i="4"/>
  <c r="G10" i="4"/>
  <c r="D65" i="4"/>
  <c r="D17" i="4"/>
  <c r="B39" i="4"/>
  <c r="C115" i="7"/>
  <c r="B115" i="7"/>
  <c r="B116" i="7"/>
  <c r="C116" i="7" s="1"/>
  <c r="H54" i="4"/>
  <c r="H55" i="4" s="1"/>
  <c r="I6" i="4"/>
  <c r="H26" i="4"/>
  <c r="H47" i="4" s="1"/>
  <c r="H36" i="4"/>
  <c r="H52" i="4" s="1"/>
  <c r="H33" i="4"/>
  <c r="H51" i="4" s="1"/>
  <c r="H8" i="4"/>
  <c r="H28" i="4"/>
  <c r="H49" i="4" s="1"/>
  <c r="H14" i="4"/>
  <c r="H46" i="4" s="1"/>
  <c r="H7" i="4"/>
  <c r="H11" i="4"/>
  <c r="H30" i="4"/>
  <c r="B126" i="7"/>
  <c r="C126" i="7" s="1"/>
  <c r="B112" i="7"/>
  <c r="C112" i="7" s="1"/>
  <c r="C120" i="7"/>
  <c r="B120" i="7"/>
  <c r="B122" i="7"/>
  <c r="C122" i="7" s="1"/>
  <c r="H22" i="8"/>
  <c r="H23" i="8" s="1"/>
  <c r="I35" i="4"/>
  <c r="I22" i="8" s="1"/>
  <c r="I23" i="8" s="1"/>
  <c r="I16" i="4"/>
  <c r="B30" i="5"/>
  <c r="B32" i="5" s="1"/>
  <c r="B33" i="5" s="1"/>
  <c r="F15" i="4"/>
  <c r="F13" i="4"/>
  <c r="F37" i="4"/>
  <c r="F50" i="4"/>
  <c r="F64" i="4" s="1"/>
  <c r="B117" i="7"/>
  <c r="C117" i="7" s="1"/>
  <c r="B119" i="7"/>
  <c r="C119" i="7" s="1"/>
  <c r="J12" i="7"/>
  <c r="J13" i="7" s="1"/>
  <c r="E15" i="4"/>
  <c r="E13" i="4"/>
  <c r="B114" i="7"/>
  <c r="C114" i="7" s="1"/>
  <c r="B113" i="7"/>
  <c r="C113" i="7" s="1"/>
  <c r="B124" i="7"/>
  <c r="C124" i="7" s="1"/>
  <c r="C123" i="7"/>
  <c r="B123" i="7"/>
  <c r="H32" i="4" l="1"/>
  <c r="H27" i="4"/>
  <c r="H48" i="4" s="1"/>
  <c r="B17" i="8"/>
  <c r="B18" i="8" s="1"/>
  <c r="C39" i="4"/>
  <c r="B40" i="4"/>
  <c r="B41" i="4" s="1"/>
  <c r="F65" i="4"/>
  <c r="C19" i="5" s="1"/>
  <c r="C21" i="5" s="1"/>
  <c r="F17" i="4"/>
  <c r="D18" i="4"/>
  <c r="D19" i="4"/>
  <c r="E65" i="4"/>
  <c r="B19" i="5" s="1"/>
  <c r="E17" i="4"/>
  <c r="G37" i="4"/>
  <c r="G50" i="4"/>
  <c r="G64" i="4" s="1"/>
  <c r="J14" i="7"/>
  <c r="I54" i="4"/>
  <c r="I55" i="4" s="1"/>
  <c r="I9" i="4"/>
  <c r="I33" i="4"/>
  <c r="I51" i="4" s="1"/>
  <c r="I8" i="4"/>
  <c r="I26" i="4"/>
  <c r="I47" i="4" s="1"/>
  <c r="I36" i="4"/>
  <c r="I52" i="4" s="1"/>
  <c r="I11" i="4"/>
  <c r="I28" i="4"/>
  <c r="I49" i="4" s="1"/>
  <c r="I14" i="4"/>
  <c r="I46" i="4" s="1"/>
  <c r="I7" i="4"/>
  <c r="G13" i="4"/>
  <c r="G15" i="4"/>
  <c r="H9" i="4"/>
  <c r="I14" i="7"/>
  <c r="K13" i="7"/>
  <c r="B29" i="4"/>
  <c r="B31" i="4" s="1"/>
  <c r="B11" i="8"/>
  <c r="B12" i="8" s="1"/>
  <c r="C60" i="4"/>
  <c r="K12" i="7"/>
  <c r="C59" i="4"/>
  <c r="G65" i="4" l="1"/>
  <c r="D19" i="5" s="1"/>
  <c r="D21" i="5" s="1"/>
  <c r="G17" i="4"/>
  <c r="D45" i="4"/>
  <c r="D53" i="4" s="1"/>
  <c r="D22" i="4"/>
  <c r="D20" i="4"/>
  <c r="D57" i="4" s="1"/>
  <c r="D58" i="4" s="1"/>
  <c r="F18" i="4"/>
  <c r="F19" i="4" s="1"/>
  <c r="I10" i="4"/>
  <c r="I12" i="4"/>
  <c r="I30" i="4"/>
  <c r="C61" i="4"/>
  <c r="C25" i="4" s="1"/>
  <c r="J15" i="7"/>
  <c r="C17" i="8"/>
  <c r="C18" i="8" s="1"/>
  <c r="C40" i="4"/>
  <c r="C41" i="4" s="1"/>
  <c r="B42" i="4"/>
  <c r="B6" i="8" s="1"/>
  <c r="B7" i="8" s="1"/>
  <c r="E18" i="4"/>
  <c r="E19" i="4" s="1"/>
  <c r="I15" i="7"/>
  <c r="K14" i="7"/>
  <c r="I27" i="4"/>
  <c r="I48" i="4" s="1"/>
  <c r="I32" i="4"/>
  <c r="B21" i="5"/>
  <c r="H37" i="4"/>
  <c r="H50" i="4"/>
  <c r="H64" i="4" s="1"/>
  <c r="H10" i="4"/>
  <c r="H12" i="4"/>
  <c r="F20" i="4" l="1"/>
  <c r="F57" i="4" s="1"/>
  <c r="F58" i="4" s="1"/>
  <c r="F45" i="4"/>
  <c r="F53" i="4" s="1"/>
  <c r="F59" i="4" s="1"/>
  <c r="F22" i="4"/>
  <c r="E22" i="4"/>
  <c r="E45" i="4"/>
  <c r="E53" i="4" s="1"/>
  <c r="E20" i="4"/>
  <c r="E57" i="4" s="1"/>
  <c r="E58" i="4" s="1"/>
  <c r="H15" i="4"/>
  <c r="H13" i="4"/>
  <c r="I13" i="4"/>
  <c r="I15" i="4"/>
  <c r="I50" i="4"/>
  <c r="I64" i="4" s="1"/>
  <c r="I37" i="4"/>
  <c r="D39" i="4"/>
  <c r="D59" i="4"/>
  <c r="J16" i="7"/>
  <c r="G18" i="4"/>
  <c r="G19" i="4" s="1"/>
  <c r="K15" i="7"/>
  <c r="I16" i="7"/>
  <c r="C11" i="8"/>
  <c r="C12" i="8" s="1"/>
  <c r="D60" i="4"/>
  <c r="C29" i="4"/>
  <c r="C31" i="4" s="1"/>
  <c r="C42" i="4" s="1"/>
  <c r="C6" i="8" s="1"/>
  <c r="C7" i="8" s="1"/>
  <c r="G45" i="4" l="1"/>
  <c r="G53" i="4" s="1"/>
  <c r="G22" i="4"/>
  <c r="G20" i="4"/>
  <c r="G57" i="4" s="1"/>
  <c r="G58" i="4" s="1"/>
  <c r="H17" i="4"/>
  <c r="H65" i="4"/>
  <c r="E19" i="5" s="1"/>
  <c r="J17" i="7"/>
  <c r="D17" i="8"/>
  <c r="D18" i="8" s="1"/>
  <c r="E39" i="4"/>
  <c r="D40" i="4"/>
  <c r="D41" i="4" s="1"/>
  <c r="E59" i="4"/>
  <c r="D61" i="4"/>
  <c r="D25" i="4" s="1"/>
  <c r="I17" i="7"/>
  <c r="K16" i="7"/>
  <c r="I17" i="4"/>
  <c r="I65" i="4"/>
  <c r="F19" i="5" s="1"/>
  <c r="E17" i="8" l="1"/>
  <c r="E18" i="8" s="1"/>
  <c r="F39" i="4"/>
  <c r="E40" i="4"/>
  <c r="E41" i="4" s="1"/>
  <c r="B27" i="5"/>
  <c r="B28" i="5" s="1"/>
  <c r="B29" i="5" s="1"/>
  <c r="F21" i="5"/>
  <c r="I19" i="4"/>
  <c r="I18" i="4"/>
  <c r="E21" i="5"/>
  <c r="C17" i="6"/>
  <c r="F19" i="6"/>
  <c r="D18" i="6"/>
  <c r="C20" i="6"/>
  <c r="E18" i="6"/>
  <c r="C11" i="6"/>
  <c r="F17" i="6"/>
  <c r="C8" i="6"/>
  <c r="E10" i="6"/>
  <c r="D11" i="6"/>
  <c r="D9" i="6"/>
  <c r="F11" i="6"/>
  <c r="C18" i="6"/>
  <c r="C10" i="6"/>
  <c r="D8" i="6"/>
  <c r="E7" i="6"/>
  <c r="B8" i="6"/>
  <c r="F10" i="6"/>
  <c r="B10" i="6"/>
  <c r="F18" i="6"/>
  <c r="C21" i="6"/>
  <c r="B17" i="6"/>
  <c r="D21" i="6"/>
  <c r="F7" i="6"/>
  <c r="B20" i="6"/>
  <c r="E8" i="6"/>
  <c r="E20" i="6"/>
  <c r="D19" i="6"/>
  <c r="E19" i="6"/>
  <c r="B11" i="6"/>
  <c r="F8" i="6"/>
  <c r="D7" i="6"/>
  <c r="F9" i="6"/>
  <c r="B21" i="6"/>
  <c r="E9" i="6"/>
  <c r="B7" i="6"/>
  <c r="F20" i="6"/>
  <c r="E11" i="6"/>
  <c r="B18" i="6"/>
  <c r="B9" i="6"/>
  <c r="B19" i="6"/>
  <c r="E21" i="6"/>
  <c r="F21" i="6"/>
  <c r="D17" i="6"/>
  <c r="C19" i="6"/>
  <c r="D10" i="6"/>
  <c r="C9" i="6"/>
  <c r="E17" i="6"/>
  <c r="C7" i="6"/>
  <c r="D20" i="6"/>
  <c r="H19" i="4"/>
  <c r="H18" i="4"/>
  <c r="K17" i="7"/>
  <c r="I18" i="7"/>
  <c r="J18" i="7" s="1"/>
  <c r="D11" i="8"/>
  <c r="D12" i="8" s="1"/>
  <c r="B39" i="5"/>
  <c r="C39" i="5" s="1"/>
  <c r="E60" i="4"/>
  <c r="E61" i="4" s="1"/>
  <c r="E25" i="4" s="1"/>
  <c r="D29" i="4"/>
  <c r="D31" i="4" s="1"/>
  <c r="D42" i="4" s="1"/>
  <c r="D6" i="8" s="1"/>
  <c r="D7" i="8" s="1"/>
  <c r="G59" i="4"/>
  <c r="I45" i="4" l="1"/>
  <c r="I53" i="4" s="1"/>
  <c r="I22" i="4"/>
  <c r="I20" i="4"/>
  <c r="I57" i="4" s="1"/>
  <c r="I58" i="4" s="1"/>
  <c r="H20" i="4"/>
  <c r="H57" i="4" s="1"/>
  <c r="H58" i="4" s="1"/>
  <c r="H22" i="4"/>
  <c r="H45" i="4"/>
  <c r="H53" i="4" s="1"/>
  <c r="H59" i="4" s="1"/>
  <c r="B23" i="5"/>
  <c r="E11" i="8"/>
  <c r="E12" i="8" s="1"/>
  <c r="F60" i="4"/>
  <c r="F61" i="4" s="1"/>
  <c r="F25" i="4" s="1"/>
  <c r="E29" i="4"/>
  <c r="E31" i="4" s="1"/>
  <c r="E42" i="4" s="1"/>
  <c r="E6" i="8" s="1"/>
  <c r="E7" i="8" s="1"/>
  <c r="K18" i="7"/>
  <c r="I19" i="7"/>
  <c r="F17" i="8"/>
  <c r="F18" i="8" s="1"/>
  <c r="G39" i="4"/>
  <c r="F40" i="4"/>
  <c r="F41" i="4" s="1"/>
  <c r="F11" i="8" l="1"/>
  <c r="F12" i="8" s="1"/>
  <c r="F29" i="4"/>
  <c r="F31" i="4" s="1"/>
  <c r="F42" i="4" s="1"/>
  <c r="F6" i="8" s="1"/>
  <c r="F7" i="8" s="1"/>
  <c r="G60" i="4"/>
  <c r="G61" i="4" s="1"/>
  <c r="G25" i="4" s="1"/>
  <c r="C37" i="5"/>
  <c r="C40" i="5" s="1"/>
  <c r="C42" i="5" s="1"/>
  <c r="C44" i="5" s="1"/>
  <c r="B37" i="5"/>
  <c r="G17" i="8"/>
  <c r="G18" i="8" s="1"/>
  <c r="G40" i="4"/>
  <c r="G41" i="4" s="1"/>
  <c r="H39" i="4"/>
  <c r="I20" i="7"/>
  <c r="K19" i="7"/>
  <c r="I59" i="4"/>
  <c r="J19" i="7"/>
  <c r="I21" i="7" l="1"/>
  <c r="K20" i="7"/>
  <c r="H17" i="8"/>
  <c r="H18" i="8" s="1"/>
  <c r="I39" i="4"/>
  <c r="H40" i="4"/>
  <c r="H41" i="4" s="1"/>
  <c r="B26" i="8"/>
  <c r="C26" i="8" s="1"/>
  <c r="B40" i="5"/>
  <c r="B42" i="5" s="1"/>
  <c r="G11" i="8"/>
  <c r="G12" i="8" s="1"/>
  <c r="H60" i="4"/>
  <c r="H61" i="4" s="1"/>
  <c r="H25" i="4" s="1"/>
  <c r="G29" i="4"/>
  <c r="G31" i="4" s="1"/>
  <c r="G42" i="4" s="1"/>
  <c r="G6" i="8" s="1"/>
  <c r="G7" i="8" s="1"/>
  <c r="J20" i="7"/>
  <c r="J21" i="7" s="1"/>
  <c r="H11" i="8" l="1"/>
  <c r="H12" i="8" s="1"/>
  <c r="I60" i="4"/>
  <c r="I61" i="4" s="1"/>
  <c r="I25" i="4" s="1"/>
  <c r="H29" i="4"/>
  <c r="H31" i="4" s="1"/>
  <c r="H42" i="4" s="1"/>
  <c r="H6" i="8" s="1"/>
  <c r="H7" i="8" s="1"/>
  <c r="B28" i="8"/>
  <c r="C28" i="8" s="1"/>
  <c r="B44" i="5"/>
  <c r="I17" i="8"/>
  <c r="I18" i="8" s="1"/>
  <c r="I40" i="4"/>
  <c r="I41" i="4" s="1"/>
  <c r="I22" i="7"/>
  <c r="K21" i="7"/>
  <c r="I23" i="7" l="1"/>
  <c r="J22" i="7"/>
  <c r="J23" i="7" s="1"/>
  <c r="I11" i="8"/>
  <c r="I12" i="8" s="1"/>
  <c r="I29" i="4"/>
  <c r="I31" i="4" s="1"/>
  <c r="I42" i="4" s="1"/>
  <c r="I6" i="8" s="1"/>
  <c r="I7" i="8" s="1"/>
  <c r="K22" i="7" l="1"/>
  <c r="K23" i="7"/>
  <c r="I24" i="7"/>
  <c r="I25" i="7" l="1"/>
  <c r="J24" i="7"/>
  <c r="J25" i="7" s="1"/>
  <c r="K25" i="7" l="1"/>
  <c r="I26" i="7"/>
  <c r="K24" i="7"/>
  <c r="I27" i="7" l="1"/>
  <c r="J26" i="7"/>
  <c r="J27" i="7" s="1"/>
  <c r="K26" i="7" l="1"/>
  <c r="I28" i="7"/>
  <c r="K27" i="7"/>
  <c r="I29" i="7" l="1"/>
  <c r="J28" i="7"/>
  <c r="J29" i="7" s="1"/>
  <c r="K28" i="7" l="1"/>
  <c r="K29" i="7"/>
  <c r="I30" i="7"/>
  <c r="I31" i="7" l="1"/>
  <c r="J30" i="7"/>
  <c r="J31" i="7" s="1"/>
  <c r="K31" i="7" l="1"/>
  <c r="I32" i="7"/>
  <c r="K30" i="7"/>
  <c r="I33" i="7" l="1"/>
  <c r="J32" i="7"/>
  <c r="J33" i="7" s="1"/>
  <c r="K32" i="7" l="1"/>
  <c r="K33" i="7"/>
  <c r="I34" i="7"/>
  <c r="I35" i="7" l="1"/>
  <c r="J34" i="7"/>
  <c r="J35" i="7" s="1"/>
  <c r="K34" i="7" l="1"/>
  <c r="I36" i="7"/>
  <c r="K35" i="7"/>
  <c r="I37" i="7" l="1"/>
  <c r="J36" i="7"/>
  <c r="J37" i="7" s="1"/>
  <c r="I38" i="7" l="1"/>
  <c r="K37" i="7"/>
  <c r="K36" i="7"/>
  <c r="I39" i="7" l="1"/>
  <c r="J38" i="7"/>
  <c r="J39" i="7" s="1"/>
  <c r="K39" i="7" l="1"/>
  <c r="I40" i="7"/>
  <c r="K38" i="7"/>
  <c r="I41" i="7" l="1"/>
  <c r="J40" i="7"/>
  <c r="J41" i="7" s="1"/>
  <c r="K40" i="7" l="1"/>
  <c r="K41" i="7"/>
  <c r="B73" i="7" s="1"/>
</calcChain>
</file>

<file path=xl/sharedStrings.xml><?xml version="1.0" encoding="utf-8"?>
<sst xmlns="http://schemas.openxmlformats.org/spreadsheetml/2006/main" count="522" uniqueCount="393">
  <si>
    <t>EXCEL FINANCIAL MODELING &amp; VALUATION TOOLKIT</t>
  </si>
  <si>
    <t>Dynamic 3-Statement Model · DCF Valuation · Sensitivity &amp; Scenario Analysis · Portfolio Optimization</t>
  </si>
  <si>
    <t>1. PURPOSE</t>
  </si>
  <si>
    <t>This workbook is a modular, fully-dynamic financial modeling and valuation toolkit built to the standard expected</t>
  </si>
  <si>
    <t>of an investment banking / equity research / private equity analyst. It demonstrates: a linked three-statement</t>
  </si>
  <si>
    <t>model, a DCF valuation with WACC build-up and two terminal-value methodologies, live two-dimensional sensitivity</t>
  </si>
  <si>
    <t>tables, a Bear/Base/Bull scenario switch, and a closed-form portfolio-optimization &amp; efficient-frontier module.</t>
  </si>
  <si>
    <t>Every output is formula-driven from the Assumptions and Scenarios tabs — nothing is hard-coded.</t>
  </si>
  <si>
    <t>2. MODEL ARCHITECTURE</t>
  </si>
  <si>
    <t>README        - this tab.</t>
  </si>
  <si>
    <t>Assumptions   - all centralized inputs: company info, BS anchors, historical &amp; forecast operating drivers,</t>
  </si>
  <si>
    <t xml:space="preserve">                WACC/valuation inputs, and the scenario selector.</t>
  </si>
  <si>
    <t>Scenarios     - Bear / Base / Bull values for scenario-sensitive drivers (growth, margins, beta, terminal g).</t>
  </si>
  <si>
    <t>Model         - the three-statement model: Income Statement, Balance Sheet, Cash Flow Statement, and an</t>
  </si>
  <si>
    <t xml:space="preserve">                Unlevered FCFF build, for 3 historical + 5 forecast years, fully linked and self-balancing.</t>
  </si>
  <si>
    <t>DCF           - WACC build-up and DCF valuation (Gordon Growth and Exit Multiple terminal value methods).</t>
  </si>
  <si>
    <t>Sensitivity   - two live 2-D sensitivity grids (WACC x g, WACC x exit multiple) built from direct formulas.</t>
  </si>
  <si>
    <t>Portfolio     - 5-asset synthetic return series, risk statistics, closed-form Minimum-Variance and Maximum-</t>
  </si>
  <si>
    <t xml:space="preserve">                Sharpe (tangency) portfolios, a target-return portfolio, and an efficient-frontier chart.</t>
  </si>
  <si>
    <t>Checks        - balance sheet, cash, retained earnings, debt, DCF, and portfolio integrity checks.</t>
  </si>
  <si>
    <t>3. HOW TO USE THIS WORKBOOK</t>
  </si>
  <si>
    <t>1. Start on the Assumptions tab. Blue-filled cells are editable inputs; black formulas should not be overwritten.</t>
  </si>
  <si>
    <t>2. Set the Scenario Selector (Assumptions!B15) to Bear, Base, or Bull to flow an entire alternate case through</t>
  </si>
  <si>
    <t xml:space="preserve">   the Model, DCF, and Sensitivity tabs automatically.</t>
  </si>
  <si>
    <t>3. Review the Model tab to see how each assumption change flows through the Income Statement, Balance Sheet,</t>
  </si>
  <si>
    <t xml:space="preserve">   and Cash Flow Statement. The Balance Check row should read ~0.00 in every period.</t>
  </si>
  <si>
    <t>4. Review WACC and valuation output on the DCF tab; implied share price appears under both terminal-value</t>
  </si>
  <si>
    <t xml:space="preserve">   methods, alongside upside/downside vs. the current share price input.</t>
  </si>
  <si>
    <t>5. Use the Sensitivity tab to stress-test WACC, terminal growth, and exit multiple simultaneously.</t>
  </si>
  <si>
    <t>6. On the Portfolio tab, edit the 36-month return series or the five portfolio weights to see risk/return,</t>
  </si>
  <si>
    <t xml:space="preserve">   the efficient frontier, and the optimal portfolios recompute live.</t>
  </si>
  <si>
    <t>7. Confirm every status cell on the Checks tab reads OK before relying on any output.</t>
  </si>
  <si>
    <t>4. KEY ASSUMPTIONS (BASE CASE)</t>
  </si>
  <si>
    <t>Company: Beacon Industrials, Inc. (BEAC) — a FICTIONAL illustrative company created for this template.</t>
  </si>
  <si>
    <t>Historical: FY2023A-FY2025A (3 years). Forecast: FY2026E-FY2030E (5 years).</t>
  </si>
  <si>
    <t>Base-case revenue growth ~6-9%, gross margin ~41.5%, SG&amp;A ~24.5% of revenue, tax rate 25%.</t>
  </si>
  <si>
    <t>WACC build-up: risk-free rate 4.2%, equity risk premium 5.0%, beta 1.00-1.35 (scenario-dependent),</t>
  </si>
  <si>
    <t>pre-tax cost of debt 6.5%, target D/V 25%. Terminal growth 1.5%-3.2% depending on scenario.</t>
  </si>
  <si>
    <t>Portfolio module: 5 synthetic assets (TechCo, HealthCo, EnergyCo, ConsumerCo, FinCo), 36 months of</t>
  </si>
  <si>
    <t>illustrative synthetic returns generated for demonstration purposes only.</t>
  </si>
  <si>
    <t>5. DATA SOURCES &amp; DISCLAIMER</t>
  </si>
  <si>
    <t>All financial figures, assumptions, and return series in this workbook are ILLUSTRATIVE / SYNTHETIC and were</t>
  </si>
  <si>
    <t>constructed for demonstration purposes. Beacon Industrials, Inc. and the five portfolio assets are fictional.</t>
  </si>
  <si>
    <t>No real company financials, market prices, or return data were used. Do not use this workbook, as populated,</t>
  </si>
  <si>
    <t>for actual investment decisions — replace the Assumptions, Scenarios, and Portfolio return data with real,</t>
  </si>
  <si>
    <t>sourced figures (10-Ks/10-Qs, market data vendors, etc.) before any real-world application.</t>
  </si>
  <si>
    <t>6. MODELING CONVENTIONS</t>
  </si>
  <si>
    <t>Color coding: BLUE font on light-yellow fill = hard-coded input. BLACK font = formula. GREEN font = a formula</t>
  </si>
  <si>
    <t>that links to another tab. Historical columns carry a grey header; forecast columns carry a navy header.</t>
  </si>
  <si>
    <t>Units: $ in millions except per-share and ratio figures. Negative values shown in parentheses.</t>
  </si>
  <si>
    <t>Balance sheet: cash is the balancing plug, computed from the indirect cash flow statement — Total Assets</t>
  </si>
  <si>
    <t>should equal Total Liabilities &amp; Equity in every period by construction (see Checks tab).</t>
  </si>
  <si>
    <t>Portfolio optimization uses the closed-form unconstrained mean-variance solution (Merton, 1972) via MINVERSE/</t>
  </si>
  <si>
    <t>MMULT array formulas rather than Solver, so results are fully live/dynamic without macros or add-ins. For a</t>
  </si>
  <si>
    <t>long-only or position-limited version, use Excel Solver (Data &gt; Solver) with the same covariance/return inputs</t>
  </si>
  <si>
    <t>and add constraints (weights &gt;= 0, weights &lt;= cap) to the User Portfolio Weight cells on the Portfolio tab.</t>
  </si>
  <si>
    <t>7. LIMITATIONS</t>
  </si>
  <si>
    <t>- Simplified operating model: flat margin/day-ratio assumptions across the forecast window (no per-year</t>
  </si>
  <si>
    <t xml:space="preserve">  detail beyond revenue growth); real models often vary these further.</t>
  </si>
  <si>
    <t>- Debt schedule is simplified (no revolver/cash sweep, no mandatory amortization schedule).</t>
  </si>
  <si>
    <t>- The mean-variance portfolio framework is a single-period, unconstrained, historical-return-based approach;</t>
  </si>
  <si>
    <t xml:space="preserve">  it does not account for transaction costs, taxes, or regime change.</t>
  </si>
  <si>
    <t>- Efficient frontier and optimal-portfolio math assume the covariance matrix is invertible (non-singular).</t>
  </si>
  <si>
    <t>8. VERSION</t>
  </si>
  <si>
    <t>ASSUMPTIONS — Beacon Industrials, Inc. (BEAC)</t>
  </si>
  <si>
    <t>All model inputs are centralized here. Blue-fill cells = editable inputs. Black text = formulas. Scenario-linked rows pull from the Scenarios tab based on the selector below.</t>
  </si>
  <si>
    <t>Company &amp; Model Info</t>
  </si>
  <si>
    <t>Company Name</t>
  </si>
  <si>
    <t>Beacon Industrials, Inc.</t>
  </si>
  <si>
    <t>Ticker</t>
  </si>
  <si>
    <t>BEAC (fictional / illustrative)</t>
  </si>
  <si>
    <t>Reporting Currency</t>
  </si>
  <si>
    <t>USD, $ in millions (except per-share)</t>
  </si>
  <si>
    <t>Fiscal Year End</t>
  </si>
  <si>
    <t>December 31</t>
  </si>
  <si>
    <t>Model Prepared By</t>
  </si>
  <si>
    <t>Model Date</t>
  </si>
  <si>
    <t>2026-08-26</t>
  </si>
  <si>
    <t>Historical Periods</t>
  </si>
  <si>
    <t>3 years (FY2023A-FY2025A)</t>
  </si>
  <si>
    <t>Forecast Periods</t>
  </si>
  <si>
    <t>5 years (FY2026E-FY2030E)</t>
  </si>
  <si>
    <t>Scenario Selector</t>
  </si>
  <si>
    <t>Active Scenario</t>
  </si>
  <si>
    <t>Base</t>
  </si>
  <si>
    <t>(type Bear / Base / Bull — drives Scenarios tab lookups below)</t>
  </si>
  <si>
    <t>Scenario Index (1=Bear,2=Base,3=Bull)</t>
  </si>
  <si>
    <t>Balance Sheet Anchors (Beginning of FY2023, $mm)</t>
  </si>
  <si>
    <t>Beginning Cash</t>
  </si>
  <si>
    <t>Beginning Net PP&amp;E</t>
  </si>
  <si>
    <t>Beginning Common Stock / APIC</t>
  </si>
  <si>
    <t>Beginning Retained Earnings</t>
  </si>
  <si>
    <t>Beginning Short-Term Debt</t>
  </si>
  <si>
    <t>Beginning Long-Term Debt</t>
  </si>
  <si>
    <t>FY2023A Revenue (anchor)</t>
  </si>
  <si>
    <t>Beginning Accounts Receivable</t>
  </si>
  <si>
    <t>Beginning Inventory</t>
  </si>
  <si>
    <t>Beginning Other Current Assets</t>
  </si>
  <si>
    <t>Beginning Accounts Payable</t>
  </si>
  <si>
    <t>Beginning Accrued Liabilities</t>
  </si>
  <si>
    <t>Beginning Other Liabilities</t>
  </si>
  <si>
    <t>Historical Operating Drivers (flat, FY23A-FY25A)</t>
  </si>
  <si>
    <t>Revenue Growth %</t>
  </si>
  <si>
    <t>Gross Margin %</t>
  </si>
  <si>
    <t>SG&amp;A % of Revenue</t>
  </si>
  <si>
    <t>D&amp;A % of Revenue</t>
  </si>
  <si>
    <t>Capex % of Revenue</t>
  </si>
  <si>
    <t>Tax Rate %</t>
  </si>
  <si>
    <t>DSO (Days Sales Outstanding)</t>
  </si>
  <si>
    <t>DIO (Days Inventory Outstanding)</t>
  </si>
  <si>
    <t>DPO (Days Payable Outstanding)</t>
  </si>
  <si>
    <t>Other Current Assets % of Revenue</t>
  </si>
  <si>
    <t>Accrued Liabilities % of Revenue</t>
  </si>
  <si>
    <t>Other Liabilities % of Revenue</t>
  </si>
  <si>
    <t>Interest Rate on Debt %</t>
  </si>
  <si>
    <t>Dividend Payout % of Net Income</t>
  </si>
  <si>
    <t>Diluted Shares Outstanding (mm)</t>
  </si>
  <si>
    <t>Forecast Operating Drivers (FY2026E-FY2030E)</t>
  </si>
  <si>
    <t>FY2026E</t>
  </si>
  <si>
    <t>FY2027E</t>
  </si>
  <si>
    <t>FY2028E</t>
  </si>
  <si>
    <t>FY2029E</t>
  </si>
  <si>
    <t>FY2030E</t>
  </si>
  <si>
    <t>Revenue Growth % (Y1-Y5)</t>
  </si>
  <si>
    <t>(applies to all 5 forecast years; scenario-linked)</t>
  </si>
  <si>
    <t>Beta (Levered)</t>
  </si>
  <si>
    <t>Forecast Operating Drivers (flat / non-scenario)</t>
  </si>
  <si>
    <t>DSO (days)</t>
  </si>
  <si>
    <t>DIO (days)</t>
  </si>
  <si>
    <t>DPO (days)</t>
  </si>
  <si>
    <t>Debt Issuance / (Repayment) $mm per yr</t>
  </si>
  <si>
    <t>WACC &amp; Valuation Assumptions</t>
  </si>
  <si>
    <t>Risk-Free Rate</t>
  </si>
  <si>
    <t>Equity Risk Premium</t>
  </si>
  <si>
    <t>Pre-Tax Cost of Debt</t>
  </si>
  <si>
    <t>Target Debt / Total Capital</t>
  </si>
  <si>
    <t>Current Share Price ($)</t>
  </si>
  <si>
    <t>EV/EBITDA Exit Multiple</t>
  </si>
  <si>
    <t>Terminal Growth Rate (g)</t>
  </si>
  <si>
    <t>(scenario-linked)</t>
  </si>
  <si>
    <t>SCENARIO FRAMEWORK</t>
  </si>
  <si>
    <t>Bear / Base / Bull assumptions for scenario-sensitive drivers. The Assumptions tab pulls from this table via CHOOSE() based on the Scenario Selector. Edit these cells to change all cases.</t>
  </si>
  <si>
    <t>Driver</t>
  </si>
  <si>
    <t>Bear</t>
  </si>
  <si>
    <t>Bull</t>
  </si>
  <si>
    <t>Notes</t>
  </si>
  <si>
    <t>Revenue Growth % - Year 1</t>
  </si>
  <si>
    <t>Bear: soft demand; Bull: share gains + pricing</t>
  </si>
  <si>
    <t>Revenue Growth % - Year 2</t>
  </si>
  <si>
    <t>Revenue Growth % - Year 3</t>
  </si>
  <si>
    <t>Revenue Growth % - Year 4</t>
  </si>
  <si>
    <t>Revenue Growth % - Year 5</t>
  </si>
  <si>
    <t>Terminal-approach growth</t>
  </si>
  <si>
    <t>Input cost pressure vs. mix/productivity upside</t>
  </si>
  <si>
    <t>Operating leverage in Bull case</t>
  </si>
  <si>
    <t>Capex intensity assumption</t>
  </si>
  <si>
    <t>Higher perceived risk in Bear case</t>
  </si>
  <si>
    <t>Must stay below WACC and near long-run GDP growth</t>
  </si>
  <si>
    <t>How This Feeds The Model</t>
  </si>
  <si>
    <t>1. Set Assumptions!B15 to Bear / Base / Bull.</t>
  </si>
  <si>
    <t>2. Assumptions tab uses CHOOSE(scenario index, Bear, Base, Bull) to pull the active case.</t>
  </si>
  <si>
    <t>3. Every downstream tab (Model, DCF, Sensitivity) recalculates automatically — no other edits needed.</t>
  </si>
  <si>
    <t>4. Edit the Bear/Base/Bull columns above to redefine the scenarios themselves.</t>
  </si>
  <si>
    <t>THREE-STATEMENT MODEL — Beacon Industrials, Inc. ($mm except per-share)</t>
  </si>
  <si>
    <t>Historical periods (grey headers) are illustrative/synthetic and formula-driven off Assumptions. Forecast periods (navy headers) flow entirely from Assumptions/Scenarios. No hard-coded outputs.</t>
  </si>
  <si>
    <t>Line Item</t>
  </si>
  <si>
    <t>FY2023A</t>
  </si>
  <si>
    <t>FY2024A</t>
  </si>
  <si>
    <t>FY2025A</t>
  </si>
  <si>
    <t>INCOME STATEMENT</t>
  </si>
  <si>
    <t>Revenue</t>
  </si>
  <si>
    <t xml:space="preserve">  Revenue Growth %</t>
  </si>
  <si>
    <t>n/a</t>
  </si>
  <si>
    <t>COGS</t>
  </si>
  <si>
    <t>Gross Profit</t>
  </si>
  <si>
    <t xml:space="preserve">  Gross Margin %</t>
  </si>
  <si>
    <t>SG&amp;A</t>
  </si>
  <si>
    <t>EBITDA</t>
  </si>
  <si>
    <t xml:space="preserve">  EBITDA Margin %</t>
  </si>
  <si>
    <t>D&amp;A</t>
  </si>
  <si>
    <t>EBIT</t>
  </si>
  <si>
    <t>Interest Expense</t>
  </si>
  <si>
    <t>EBT</t>
  </si>
  <si>
    <t>Income Taxes</t>
  </si>
  <si>
    <t>Net Income</t>
  </si>
  <si>
    <t>Dividends Declared</t>
  </si>
  <si>
    <t>EPS ($)</t>
  </si>
  <si>
    <t>BALANCE SHEET</t>
  </si>
  <si>
    <t>Cash &amp; Equivalents</t>
  </si>
  <si>
    <t>Accounts Receivable</t>
  </si>
  <si>
    <t>Inventory</t>
  </si>
  <si>
    <t>Other Current Assets</t>
  </si>
  <si>
    <t>Total Current Assets</t>
  </si>
  <si>
    <t>Net PP&amp;E</t>
  </si>
  <si>
    <t>Total Assets</t>
  </si>
  <si>
    <t>Accounts Payable</t>
  </si>
  <si>
    <t>Accrued Liabilities</t>
  </si>
  <si>
    <t>Short-Term Debt</t>
  </si>
  <si>
    <t>Long-Term Debt</t>
  </si>
  <si>
    <t>Other Liabilities</t>
  </si>
  <si>
    <t>Total Liabilities</t>
  </si>
  <si>
    <t>Common Stock &amp; APIC</t>
  </si>
  <si>
    <t>Retained Earnings</t>
  </si>
  <si>
    <t>Total Shareholders' Equity</t>
  </si>
  <si>
    <t>Total Liabilities &amp; Equity</t>
  </si>
  <si>
    <t>Balance Check (Assets - L&amp;E)</t>
  </si>
  <si>
    <t>CASH FLOW STATEMENT</t>
  </si>
  <si>
    <t>+ D&amp;A</t>
  </si>
  <si>
    <t>(Inc) / Dec in Accounts Receivable</t>
  </si>
  <si>
    <t>(Inc) / Dec in Inventory</t>
  </si>
  <si>
    <t>(Inc) / Dec in Other Current Assets</t>
  </si>
  <si>
    <t>Inc / (Dec) in Accounts Payable</t>
  </si>
  <si>
    <t>Inc / (Dec) in Accrued Liabilities</t>
  </si>
  <si>
    <t>Inc / (Dec) in Other Liabilities</t>
  </si>
  <si>
    <t>Cash Flow from Operations</t>
  </si>
  <si>
    <t>Capital Expenditures</t>
  </si>
  <si>
    <t>Cash Flow from Investing</t>
  </si>
  <si>
    <t>Debt Issuance / (Repayment)</t>
  </si>
  <si>
    <t>Dividends Paid</t>
  </si>
  <si>
    <t>Cash Flow from Financing</t>
  </si>
  <si>
    <t>Net Change in Cash</t>
  </si>
  <si>
    <t>Ending Cash</t>
  </si>
  <si>
    <t>UNLEVERED FREE CASH FLOW (feeds DCF tab)</t>
  </si>
  <si>
    <t>Change in Net Working Capital</t>
  </si>
  <si>
    <t>Unlevered Free Cash Flow (FCFF)</t>
  </si>
  <si>
    <t>DCF VALUATION — Beacon Industrials, Inc.</t>
  </si>
  <si>
    <t>Fully dynamic: WACC and FCFF flow from Assumptions/Scenarios and the Model tab. No valuation output below is hard-coded.</t>
  </si>
  <si>
    <t>WACC Calculation</t>
  </si>
  <si>
    <t>Beta (Levered, scenario-linked)</t>
  </si>
  <si>
    <t>Cost of Equity (Ke = Rf + β×ERP)</t>
  </si>
  <si>
    <t>Tax Rate</t>
  </si>
  <si>
    <t>After-Tax Cost of Debt</t>
  </si>
  <si>
    <t>Target Debt / Total Capital (D/V)</t>
  </si>
  <si>
    <t>Target Equity / Total Capital (E/V)</t>
  </si>
  <si>
    <t>WACC</t>
  </si>
  <si>
    <t>Unlevered Free Cash Flow Projection ($mm)</t>
  </si>
  <si>
    <t>Discount Period (t)</t>
  </si>
  <si>
    <t>FCFF (from Model tab)</t>
  </si>
  <si>
    <t>Discount Factor</t>
  </si>
  <si>
    <t>PV of FCFF</t>
  </si>
  <si>
    <t>Sum of PV of Forecast FCFF</t>
  </si>
  <si>
    <t>Terminal Value</t>
  </si>
  <si>
    <t>Terminal Year FCFF (Y5 × (1+g))</t>
  </si>
  <si>
    <t>Terminal Value — Gordon Growth</t>
  </si>
  <si>
    <t>PV of Terminal Value (Gordon)</t>
  </si>
  <si>
    <t>Terminal Year EBITDA (Y5, from Model)</t>
  </si>
  <si>
    <t>EV / EBITDA Exit Multiple</t>
  </si>
  <si>
    <t>Terminal Value — Exit Multiple</t>
  </si>
  <si>
    <t>PV of Terminal Value (Exit Multiple)</t>
  </si>
  <si>
    <t>Enterprise Value / Equity Value / Implied Share Price</t>
  </si>
  <si>
    <t>Gordon Growth Method</t>
  </si>
  <si>
    <t>Exit Multiple Method</t>
  </si>
  <si>
    <t>Enterprise Value</t>
  </si>
  <si>
    <t>(-) Total Debt (current, FY2025A)</t>
  </si>
  <si>
    <t>(+) Cash &amp; Equivalents (current, FY2025A)</t>
  </si>
  <si>
    <t>Equity Value</t>
  </si>
  <si>
    <t>Implied Share Price</t>
  </si>
  <si>
    <t>Current Share Price</t>
  </si>
  <si>
    <t>Upside / (Downside)</t>
  </si>
  <si>
    <t>DCF SENSITIVITY ANALYSIS</t>
  </si>
  <si>
    <t>Every cell below is a self-contained formula (not an Excel What-If Data Table), so results recompute live from the FCFF stream, WACC, and terminal-value assumptions — fully dynamic.</t>
  </si>
  <si>
    <t>Table 1: Implied Share Price — WACC vs. Terminal Growth Rate (Gordon Growth)</t>
  </si>
  <si>
    <t>Base case is highlighted.</t>
  </si>
  <si>
    <t>WACC \ g (down/right)</t>
  </si>
  <si>
    <t>Table 2: Implied Share Price — WACC vs. EV/EBITDA Exit Multiple</t>
  </si>
  <si>
    <t>WACC \ Exit Mult. (down/right)</t>
  </si>
  <si>
    <t>Scenario Output Log (toggle Assumptions!B15 and record results)</t>
  </si>
  <si>
    <t>Scenario</t>
  </si>
  <si>
    <t>Implied Price (Gordon)</t>
  </si>
  <si>
    <t>Implied Price (Exit Mult.)</t>
  </si>
  <si>
    <t>EV ($mm)</t>
  </si>
  <si>
    <t>Base (current)</t>
  </si>
  <si>
    <t>Tip: set Assumptions!B15 to each case, then paste values from DCF!B42 (Gordon) / DCF!C42 (Exit Mult.) into this log.</t>
  </si>
  <si>
    <t>PORTFOLIO OPTIMIZATION &amp; RISK ANALYTICS</t>
  </si>
  <si>
    <t>Illustrative synthetic monthly total-return data (NOT real market data) for a 5-asset universe. All statistics, weights, and the efficient frontier recompute live from the return series below.</t>
  </si>
  <si>
    <t>Monthly Total Returns (synthetic, 36 months)</t>
  </si>
  <si>
    <t>Month</t>
  </si>
  <si>
    <t>TechCo</t>
  </si>
  <si>
    <t>HealthCo</t>
  </si>
  <si>
    <t>EnergyCo</t>
  </si>
  <si>
    <t>ConsumerCo</t>
  </si>
  <si>
    <t>FinCo</t>
  </si>
  <si>
    <t>Port. Monthly Ret.</t>
  </si>
  <si>
    <t>Wealth Index</t>
  </si>
  <si>
    <t>Running Max</t>
  </si>
  <si>
    <t>Drawdown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</si>
  <si>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</si>
  <si>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</si>
  <si>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</si>
  <si>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</si>
  <si>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</si>
  <si>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</si>
  <si>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</si>
  <si>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</si>
  <si>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</si>
  <si>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</si>
  <si>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</si>
  <si>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</si>
  <si>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</si>
  <si>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</si>
  <si>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</si>
  <si>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</si>
  <si>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</si>
  <si>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</si>
  <si>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</si>
  <si>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</si>
  <si>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</si>
  <si>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</si>
  <si>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</si>
  <si>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</si>
  <si>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</si>
  <si>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</si>
  <si>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</si>
  <si>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</si>
  <si>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</si>
  <si>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</si>
  <si>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</si>
  <si>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</si>
  <si>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</si>
  <si>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</si>
  <si>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</si>
  <si>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</si>
  <si>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Annualized Return &amp; Risk by Asset</t>
  </si>
  <si>
    <t>Annualized Return</t>
  </si>
  <si>
    <t>Annualized Volatility</t>
  </si>
  <si>
    <t>Annualized Covariance Matrix</t>
  </si>
  <si>
    <t>Correlation Matrix</t>
  </si>
  <si>
    <t>User Portfolio (editable weights)</t>
  </si>
  <si>
    <t>Portfolio Weight</t>
  </si>
  <si>
    <t>Sum of Weights (must = 100%)</t>
  </si>
  <si>
    <t>Risk-Free Rate (for Sharpe)</t>
  </si>
  <si>
    <t>Portfolio Expected Return</t>
  </si>
  <si>
    <t>Portfolio Variance</t>
  </si>
  <si>
    <t>Portfolio Volatility</t>
  </si>
  <si>
    <t>Sharpe Ratio</t>
  </si>
  <si>
    <t>Max Drawdown (from monthly series)</t>
  </si>
  <si>
    <t>Closed-Form Optimization Vectors (Merton 1972 unconstrained frontier)</t>
  </si>
  <si>
    <t>Asset</t>
  </si>
  <si>
    <t>mu (vertical)</t>
  </si>
  <si>
    <t>Ones</t>
  </si>
  <si>
    <t>u = Σ⁻¹·1</t>
  </si>
  <si>
    <t>v = Σ⁻¹·μ</t>
  </si>
  <si>
    <t>A = sum(u)</t>
  </si>
  <si>
    <t>B = mu′u</t>
  </si>
  <si>
    <t>C = mu′v</t>
  </si>
  <si>
    <t>D = A·C - B²</t>
  </si>
  <si>
    <t>Minimum-Volatility Portfolio (unconstrained, long/short)</t>
  </si>
  <si>
    <t>Weight = u_i / A</t>
  </si>
  <si>
    <t>Expected Return</t>
  </si>
  <si>
    <t>Volatility (= sqrt(1/A))</t>
  </si>
  <si>
    <t>Maximum-Sharpe (Tangency) Portfolio</t>
  </si>
  <si>
    <t>t_i = v_i - Rf·u_i (unnormalized)</t>
  </si>
  <si>
    <t>Tangency Weight = t_i / Σt</t>
  </si>
  <si>
    <t>Variance</t>
  </si>
  <si>
    <t>Volatility</t>
  </si>
  <si>
    <t>Target-Return Portfolio</t>
  </si>
  <si>
    <t>Target Return (input)</t>
  </si>
  <si>
    <t>λ = (C - B·μ*) / D</t>
  </si>
  <si>
    <t>γ = (A·μ* - B) / D</t>
  </si>
  <si>
    <t>Weight = λ·u_i + γ·v_i</t>
  </si>
  <si>
    <t>Volatility = sqrt((A·μ*² - 2B·μ* + C)/D)</t>
  </si>
  <si>
    <t>Efficient Frontier (closed-form; 15 target-return points)</t>
  </si>
  <si>
    <t>Target Return</t>
  </si>
  <si>
    <t>Sharpe</t>
  </si>
  <si>
    <t>Minimum-Variance Point:</t>
  </si>
  <si>
    <t>(vol, ret)</t>
  </si>
  <si>
    <t>Max-Sharpe (Tangency) Point:</t>
  </si>
  <si>
    <t>User Portfolio Point:</t>
  </si>
  <si>
    <t>MODEL CHECKS &amp; ERROR FLAGS</t>
  </si>
  <si>
    <t>Every check should read OK. Any FAIL indicates a broken linkage — locate and fix before relying on outputs.</t>
  </si>
  <si>
    <t>1. Balance Sheet Check (Total Assets - Total Liab. &amp; Equity, by year)</t>
  </si>
  <si>
    <t>Balance Check ($mm)</t>
  </si>
  <si>
    <t>Status</t>
  </si>
  <si>
    <t>2. Cash Reconciliation (BS Cash = CF Ending Cash, by year)</t>
  </si>
  <si>
    <t>Difference ($mm)</t>
  </si>
  <si>
    <t>3. Retained Earnings Roll-Forward Check</t>
  </si>
  <si>
    <t>RE(t) = RE(t-1) + NI(t) - Dividends(t)  — verified by construction; recomputed independently here.</t>
  </si>
  <si>
    <t>Independent Recompute Diff</t>
  </si>
  <si>
    <t>4. Debt Roll-Forward Check (LT Debt(t) = LT Debt(t-1) + Issuance)</t>
  </si>
  <si>
    <t>Difference</t>
  </si>
  <si>
    <t>5. DCF Integrity Checks</t>
  </si>
  <si>
    <t>Enterprise Value = Sum PV(FCFF) + PV(Terminal Value)? (Gordon)</t>
  </si>
  <si>
    <t>Terminal Growth &lt; WACC? (required for Gordon Growth to be valid)</t>
  </si>
  <si>
    <t>Equity Value = Implied Price × Shares?</t>
  </si>
  <si>
    <t>6. Portfolio Checks</t>
  </si>
  <si>
    <t>Sum of User Portfolio Weights = 100%?</t>
  </si>
  <si>
    <t>Portfolio Return Independent Recompute Diff</t>
  </si>
  <si>
    <t>Min-Variance Weights Sum to 100%?</t>
  </si>
  <si>
    <t>Tangency Weights Sum to 100%?</t>
  </si>
  <si>
    <t>Summary — All Checks</t>
  </si>
  <si>
    <t>If every status cell above reads OK, the workbook is internally consistent and ready to use.</t>
  </si>
  <si>
    <t>Version 1.0 — built 2026-08-26. Prepared by Maanas (maanas.pabbathi@utexas.edu) for public GitHub publication.</t>
  </si>
  <si>
    <t>Maanas (maanas.pabbathi@utexas.edu)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</si>
</sst>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"/>
    <numFmt numFmtId="165" formatCode="0.0%"/>
    <numFmt numFmtId="166" formatCode="0.0"/>
    <numFmt numFmtId="167" formatCode="#,##0.00;\(#,##0.00\)"/>
    <numFmt numFmtId="168" formatCode="\$#,##0.00"/>
    <numFmt numFmtId="169" formatCode="0.00&quot;x&quot;"/>
    <numFmt numFmtId="170" formatCode="0.000"/>
    <numFmt numFmtId="171" formatCode="0.0000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595959"/>
      <name val="Calibri"/>
      <family val="2"/>
    </font>
    <font>
      <b/>
      <sz val="11"/>
      <color rgb="FF1F3864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8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3" borderId="0" xfId="0" applyFont="1" applyFill="1"/>
    <xf numFmtId="0" fontId="4" fillId="0" borderId="0" xfId="0" applyFont="1" applyAlignment="1">
      <alignment vertical="top" wrapText="1"/>
    </xf>
    <xf numFmtId="0" fontId="4" fillId="0" borderId="0" xfId="0" applyFont="1"/>
    <xf numFmtId="0" fontId="5" fillId="4" borderId="1" xfId="0" applyFont="1" applyFill="1" applyBorder="1"/>
    <xf numFmtId="0" fontId="6" fillId="0" borderId="0" xfId="0" applyFont="1"/>
    <xf numFmtId="1" fontId="4" fillId="0" borderId="0" xfId="0" applyNumberFormat="1" applyFont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66" fontId="5" fillId="4" borderId="1" xfId="0" applyNumberFormat="1" applyFont="1" applyFill="1" applyBorder="1"/>
    <xf numFmtId="167" fontId="5" fillId="4" borderId="1" xfId="0" applyNumberFormat="1" applyFont="1" applyFill="1" applyBorder="1"/>
    <xf numFmtId="0" fontId="7" fillId="3" borderId="0" xfId="0" applyFont="1" applyFill="1"/>
    <xf numFmtId="165" fontId="8" fillId="0" borderId="0" xfId="0" applyNumberFormat="1" applyFont="1"/>
    <xf numFmtId="2" fontId="8" fillId="0" borderId="0" xfId="0" applyNumberFormat="1" applyFont="1"/>
    <xf numFmtId="10" fontId="5" fillId="4" borderId="1" xfId="0" applyNumberFormat="1" applyFont="1" applyFill="1" applyBorder="1"/>
    <xf numFmtId="168" fontId="5" fillId="4" borderId="1" xfId="0" applyNumberFormat="1" applyFont="1" applyFill="1" applyBorder="1"/>
    <xf numFmtId="169" fontId="5" fillId="4" borderId="1" xfId="0" applyNumberFormat="1" applyFont="1" applyFill="1" applyBorder="1"/>
    <xf numFmtId="10" fontId="8" fillId="0" borderId="0" xfId="0" applyNumberFormat="1" applyFont="1"/>
    <xf numFmtId="0" fontId="7" fillId="2" borderId="0" xfId="0" applyFont="1" applyFill="1" applyAlignment="1">
      <alignment horizontal="center"/>
    </xf>
    <xf numFmtId="2" fontId="5" fillId="4" borderId="1" xfId="0" applyNumberFormat="1" applyFont="1" applyFill="1" applyBorder="1"/>
    <xf numFmtId="0" fontId="9" fillId="5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4" fontId="6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167" fontId="6" fillId="0" borderId="0" xfId="0" applyNumberFormat="1" applyFont="1"/>
    <xf numFmtId="10" fontId="6" fillId="0" borderId="0" xfId="0" applyNumberFormat="1" applyFont="1"/>
    <xf numFmtId="10" fontId="6" fillId="6" borderId="0" xfId="0" applyNumberFormat="1" applyFont="1" applyFill="1"/>
    <xf numFmtId="0" fontId="7" fillId="2" borderId="0" xfId="0" applyFont="1" applyFill="1"/>
    <xf numFmtId="164" fontId="8" fillId="0" borderId="0" xfId="0" applyNumberFormat="1" applyFont="1"/>
    <xf numFmtId="169" fontId="8" fillId="0" borderId="0" xfId="0" applyNumberFormat="1" applyFont="1"/>
    <xf numFmtId="167" fontId="8" fillId="0" borderId="0" xfId="0" applyNumberFormat="1" applyFont="1"/>
    <xf numFmtId="168" fontId="6" fillId="6" borderId="0" xfId="0" applyNumberFormat="1" applyFont="1" applyFill="1"/>
    <xf numFmtId="168" fontId="8" fillId="0" borderId="0" xfId="0" applyNumberFormat="1" applyFont="1"/>
    <xf numFmtId="165" fontId="6" fillId="0" borderId="0" xfId="0" applyNumberFormat="1" applyFont="1"/>
    <xf numFmtId="168" fontId="11" fillId="6" borderId="0" xfId="0" applyNumberFormat="1" applyFont="1" applyFill="1"/>
    <xf numFmtId="169" fontId="6" fillId="0" borderId="0" xfId="0" applyNumberFormat="1" applyFont="1"/>
    <xf numFmtId="10" fontId="4" fillId="0" borderId="0" xfId="0" applyNumberFormat="1" applyFont="1"/>
    <xf numFmtId="2" fontId="4" fillId="0" borderId="0" xfId="0" applyNumberFormat="1" applyFont="1"/>
    <xf numFmtId="2" fontId="6" fillId="0" borderId="0" xfId="0" applyNumberFormat="1" applyFont="1"/>
    <xf numFmtId="170" fontId="0" fillId="0" borderId="0" xfId="0" applyNumberFormat="1"/>
    <xf numFmtId="171" fontId="4" fillId="0" borderId="0" xfId="0" applyNumberFormat="1" applyFont="1"/>
    <xf numFmtId="170" fontId="4" fillId="0" borderId="0" xfId="0" applyNumberFormat="1" applyFont="1"/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Efficient Frontier — Volatility vs. Expected Return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Efficient Frontier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Portfolio!$B$112:$B$126</c:f>
              <c:numCache>
                <c:formatCode>0.0%</c:formatCode>
                <c:ptCount val="15"/>
                <c:pt idx="0">
                  <c:v>0.10415156712390271</c:v>
                </c:pt>
                <c:pt idx="1">
                  <c:v>0.10442133388268038</c:v>
                </c:pt>
                <c:pt idx="2">
                  <c:v>0.10522648467120066</c:v>
                </c:pt>
                <c:pt idx="3">
                  <c:v>0.10655488376243226</c:v>
                </c:pt>
                <c:pt idx="4">
                  <c:v>0.10838729400598243</c:v>
                </c:pt>
                <c:pt idx="5">
                  <c:v>0.11069868933822075</c:v>
                </c:pt>
                <c:pt idx="6">
                  <c:v>0.11345979997958464</c:v>
                </c:pt>
                <c:pt idx="7">
                  <c:v>0.11663869286202413</c:v>
                </c:pt>
                <c:pt idx="8">
                  <c:v>0.12020222628829576</c:v>
                </c:pt>
                <c:pt idx="9">
                  <c:v>0.12411727441299428</c:v>
                </c:pt>
                <c:pt idx="10">
                  <c:v>0.12835167502492983</c:v>
                </c:pt>
                <c:pt idx="11">
                  <c:v>0.13287490066467286</c:v>
                </c:pt>
                <c:pt idx="12">
                  <c:v>0.13765848336566464</c:v>
                </c:pt>
                <c:pt idx="13">
                  <c:v>0.14267623813855643</c:v>
                </c:pt>
                <c:pt idx="14">
                  <c:v>0.14790433356447663</c:v>
                </c:pt>
              </c:numCache>
            </c:numRef>
          </c:xVal>
          <c:yVal>
            <c:numRef>
              <c:f>Portfolio!$A$112:$A$126</c:f>
              <c:numCache>
                <c:formatCode>0.0%</c:formatCode>
                <c:ptCount val="15"/>
                <c:pt idx="0">
                  <c:v>0.10774205411457864</c:v>
                </c:pt>
                <c:pt idx="1">
                  <c:v>0.11562762167782302</c:v>
                </c:pt>
                <c:pt idx="2">
                  <c:v>0.1235131892410674</c:v>
                </c:pt>
                <c:pt idx="3">
                  <c:v>0.13139875680431179</c:v>
                </c:pt>
                <c:pt idx="4">
                  <c:v>0.13928432436755617</c:v>
                </c:pt>
                <c:pt idx="5">
                  <c:v>0.14716989193080054</c:v>
                </c:pt>
                <c:pt idx="6">
                  <c:v>0.15505545949404492</c:v>
                </c:pt>
                <c:pt idx="7">
                  <c:v>0.1629410270572893</c:v>
                </c:pt>
                <c:pt idx="8">
                  <c:v>0.17082659462053368</c:v>
                </c:pt>
                <c:pt idx="9">
                  <c:v>0.17871216218377806</c:v>
                </c:pt>
                <c:pt idx="10">
                  <c:v>0.18659772974702243</c:v>
                </c:pt>
                <c:pt idx="11">
                  <c:v>0.19448329731026681</c:v>
                </c:pt>
                <c:pt idx="12">
                  <c:v>0.20236886487351119</c:v>
                </c:pt>
                <c:pt idx="13">
                  <c:v>0.21025443243675557</c:v>
                </c:pt>
                <c:pt idx="14">
                  <c:v>0.21813999999999995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51-E945-98E1-CC568BA37E20}"/>
            </c:ext>
          </c:extLst>
        </c:ser>
        <c:ser>
          <c:idx val="1"/>
          <c:order val="1"/>
          <c:tx>
            <c:v>Min-Variance</c:v>
          </c:tx>
          <c:spPr>
            <a:ln>
              <a:noFill/>
              <a:prstDash val="solid"/>
            </a:ln>
          </c:spPr>
          <c:marker>
            <c:symbol val="diamond"/>
            <c:size val="10"/>
            <c:spPr>
              <a:ln>
                <a:prstDash val="solid"/>
              </a:ln>
            </c:spPr>
          </c:marker>
          <c:xVal>
            <c:numRef>
              <c:f>Portfolio!$B$128</c:f>
              <c:numCache>
                <c:formatCode>0.0%</c:formatCode>
                <c:ptCount val="1"/>
                <c:pt idx="0">
                  <c:v>0.10415156712390272</c:v>
                </c:pt>
              </c:numCache>
            </c:numRef>
          </c:xVal>
          <c:yVal>
            <c:numRef>
              <c:f>Portfolio!$C$128</c:f>
              <c:numCache>
                <c:formatCode>0.0%</c:formatCode>
                <c:ptCount val="1"/>
                <c:pt idx="0">
                  <c:v>0.10774205411457864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51-E945-98E1-CC568BA37E20}"/>
            </c:ext>
          </c:extLst>
        </c:ser>
        <c:ser>
          <c:idx val="2"/>
          <c:order val="2"/>
          <c:tx>
            <c:v>Max-Sharpe</c:v>
          </c:tx>
          <c:spPr>
            <a:ln>
              <a:noFill/>
              <a:prstDash val="solid"/>
            </a:ln>
          </c:spPr>
          <c:marker>
            <c:symbol val="diamond"/>
            <c:size val="10"/>
            <c:spPr>
              <a:ln>
                <a:prstDash val="solid"/>
              </a:ln>
            </c:spPr>
          </c:marker>
          <c:xVal>
            <c:numRef>
              <c:f>Portfolio!$B$129</c:f>
              <c:numCache>
                <c:formatCode>0.0%</c:formatCode>
                <c:ptCount val="1"/>
                <c:pt idx="0">
                  <c:v>0.20232586350613813</c:v>
                </c:pt>
              </c:numCache>
            </c:numRef>
          </c:xVal>
          <c:yVal>
            <c:numRef>
              <c:f>Portfolio!$C$129</c:f>
              <c:numCache>
                <c:formatCode>0.0%</c:formatCode>
                <c:ptCount val="1"/>
                <c:pt idx="0">
                  <c:v>0.29009296916518512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51-E945-98E1-CC568BA37E20}"/>
            </c:ext>
          </c:extLst>
        </c:ser>
        <c:ser>
          <c:idx val="3"/>
          <c:order val="3"/>
          <c:tx>
            <c:v>User Portfolio</c:v>
          </c:tx>
          <c:spPr>
            <a:ln>
              <a:noFill/>
              <a:prstDash val="solid"/>
            </a:ln>
          </c:spPr>
          <c:marker>
            <c:symbol val="diamond"/>
            <c:size val="10"/>
            <c:spPr>
              <a:ln>
                <a:prstDash val="solid"/>
              </a:ln>
            </c:spPr>
          </c:marker>
          <c:xVal>
            <c:numRef>
              <c:f>Portfolio!$B$130</c:f>
              <c:numCache>
                <c:formatCode>0.0%</c:formatCode>
                <c:ptCount val="1"/>
                <c:pt idx="0">
                  <c:v>0.11371226200207976</c:v>
                </c:pt>
              </c:numCache>
            </c:numRef>
          </c:xVal>
          <c:yVal>
            <c:numRef>
              <c:f>Portfolio!$C$130</c:f>
              <c:numCache>
                <c:formatCode>0.0%</c:formatCode>
                <c:ptCount val="1"/>
                <c:pt idx="0">
                  <c:v>0.10008666666666666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51-E945-98E1-CC568BA37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Annualized Volatility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Annualized Expected Return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111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A73"/>
  <sheetViews>
    <sheetView showGridLines="0" tabSelected="1" workbookViewId="0">
      <selection activeCell="A76" sqref="A76"/>
    </sheetView>
  </sheetViews>
  <sheetFormatPr baseColWidth="10" defaultColWidth="8.83203125" defaultRowHeight="15" x14ac:dyDescent="0.2"/>
  <cols>
    <col min="1" max="1" width="100" customWidth="1"/>
  </cols>
  <sheetData>
    <row r="1" spans="1:1" ht="26" customHeight="1" x14ac:dyDescent="0.2">
      <c r="A1" s="46" t="s">
        <v>0</v>
      </c>
    </row>
    <row r="2" spans="1:1" x14ac:dyDescent="0.2">
      <c r="A2" s="45" t="s">
        <v>1</v>
      </c>
    </row>
    <row r="4" spans="1:1" x14ac:dyDescent="0.2">
      <c r="A4" s="1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/>
    </row>
    <row r="11" spans="1:1" x14ac:dyDescent="0.2">
      <c r="A11" s="1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 t="s">
        <v>12</v>
      </c>
    </row>
    <row r="16" spans="1:1" x14ac:dyDescent="0.2">
      <c r="A16" s="2" t="s">
        <v>13</v>
      </c>
    </row>
    <row r="17" spans="1:1" x14ac:dyDescent="0.2">
      <c r="A17" s="2" t="s">
        <v>14</v>
      </c>
    </row>
    <row r="18" spans="1:1" x14ac:dyDescent="0.2">
      <c r="A18" s="2" t="s">
        <v>15</v>
      </c>
    </row>
    <row r="19" spans="1:1" x14ac:dyDescent="0.2">
      <c r="A19" s="2" t="s">
        <v>16</v>
      </c>
    </row>
    <row r="20" spans="1:1" x14ac:dyDescent="0.2">
      <c r="A20" s="2" t="s">
        <v>17</v>
      </c>
    </row>
    <row r="21" spans="1:1" x14ac:dyDescent="0.2">
      <c r="A21" s="2" t="s">
        <v>18</v>
      </c>
    </row>
    <row r="22" spans="1:1" x14ac:dyDescent="0.2">
      <c r="A22" s="2" t="s">
        <v>19</v>
      </c>
    </row>
    <row r="23" spans="1:1" x14ac:dyDescent="0.2">
      <c r="A23" s="2"/>
    </row>
    <row r="24" spans="1:1" x14ac:dyDescent="0.2">
      <c r="A24" s="1" t="s">
        <v>20</v>
      </c>
    </row>
    <row r="25" spans="1:1" x14ac:dyDescent="0.2">
      <c r="A25" s="2" t="s">
        <v>21</v>
      </c>
    </row>
    <row r="26" spans="1:1" x14ac:dyDescent="0.2">
      <c r="A26" s="2" t="s">
        <v>22</v>
      </c>
    </row>
    <row r="27" spans="1:1" x14ac:dyDescent="0.2">
      <c r="A27" s="2" t="s">
        <v>23</v>
      </c>
    </row>
    <row r="28" spans="1:1" x14ac:dyDescent="0.2">
      <c r="A28" s="2" t="s">
        <v>24</v>
      </c>
    </row>
    <row r="29" spans="1:1" x14ac:dyDescent="0.2">
      <c r="A29" s="2" t="s">
        <v>25</v>
      </c>
    </row>
    <row r="30" spans="1:1" x14ac:dyDescent="0.2">
      <c r="A30" s="2" t="s">
        <v>26</v>
      </c>
    </row>
    <row r="31" spans="1:1" x14ac:dyDescent="0.2">
      <c r="A31" s="2" t="s">
        <v>27</v>
      </c>
    </row>
    <row r="32" spans="1:1" x14ac:dyDescent="0.2">
      <c r="A32" s="2" t="s">
        <v>28</v>
      </c>
    </row>
    <row r="33" spans="1:1" x14ac:dyDescent="0.2">
      <c r="A33" s="2" t="s">
        <v>29</v>
      </c>
    </row>
    <row r="34" spans="1:1" x14ac:dyDescent="0.2">
      <c r="A34" s="2" t="s">
        <v>30</v>
      </c>
    </row>
    <row r="35" spans="1:1" x14ac:dyDescent="0.2">
      <c r="A35" s="2" t="s">
        <v>31</v>
      </c>
    </row>
    <row r="36" spans="1:1" x14ac:dyDescent="0.2">
      <c r="A36" s="2"/>
    </row>
    <row r="37" spans="1:1" x14ac:dyDescent="0.2">
      <c r="A37" s="1" t="s">
        <v>32</v>
      </c>
    </row>
    <row r="38" spans="1:1" x14ac:dyDescent="0.2">
      <c r="A38" s="2" t="s">
        <v>33</v>
      </c>
    </row>
    <row r="39" spans="1:1" x14ac:dyDescent="0.2">
      <c r="A39" s="2" t="s">
        <v>34</v>
      </c>
    </row>
    <row r="40" spans="1:1" x14ac:dyDescent="0.2">
      <c r="A40" s="2" t="s">
        <v>35</v>
      </c>
    </row>
    <row r="41" spans="1:1" x14ac:dyDescent="0.2">
      <c r="A41" s="2" t="s">
        <v>36</v>
      </c>
    </row>
    <row r="42" spans="1:1" x14ac:dyDescent="0.2">
      <c r="A42" s="2" t="s">
        <v>37</v>
      </c>
    </row>
    <row r="43" spans="1:1" x14ac:dyDescent="0.2">
      <c r="A43" s="2" t="s">
        <v>38</v>
      </c>
    </row>
    <row r="44" spans="1:1" x14ac:dyDescent="0.2">
      <c r="A44" s="2" t="s">
        <v>39</v>
      </c>
    </row>
    <row r="45" spans="1:1" x14ac:dyDescent="0.2">
      <c r="A45" s="2"/>
    </row>
    <row r="46" spans="1:1" x14ac:dyDescent="0.2">
      <c r="A46" s="1" t="s">
        <v>40</v>
      </c>
    </row>
    <row r="47" spans="1:1" x14ac:dyDescent="0.2">
      <c r="A47" s="2" t="s">
        <v>41</v>
      </c>
    </row>
    <row r="48" spans="1:1" x14ac:dyDescent="0.2">
      <c r="A48" s="2" t="s">
        <v>42</v>
      </c>
    </row>
    <row r="49" spans="1:1" x14ac:dyDescent="0.2">
      <c r="A49" s="2" t="s">
        <v>43</v>
      </c>
    </row>
    <row r="50" spans="1:1" x14ac:dyDescent="0.2">
      <c r="A50" s="2" t="s">
        <v>44</v>
      </c>
    </row>
    <row r="51" spans="1:1" x14ac:dyDescent="0.2">
      <c r="A51" s="2" t="s">
        <v>45</v>
      </c>
    </row>
    <row r="52" spans="1:1" x14ac:dyDescent="0.2">
      <c r="A52" s="2"/>
    </row>
    <row r="53" spans="1:1" x14ac:dyDescent="0.2">
      <c r="A53" s="1" t="s">
        <v>46</v>
      </c>
    </row>
    <row r="54" spans="1:1" x14ac:dyDescent="0.2">
      <c r="A54" s="2" t="s">
        <v>47</v>
      </c>
    </row>
    <row r="55" spans="1:1" x14ac:dyDescent="0.2">
      <c r="A55" s="2" t="s">
        <v>48</v>
      </c>
    </row>
    <row r="56" spans="1:1" x14ac:dyDescent="0.2">
      <c r="A56" s="2" t="s">
        <v>49</v>
      </c>
    </row>
    <row r="57" spans="1:1" x14ac:dyDescent="0.2">
      <c r="A57" s="2" t="s">
        <v>50</v>
      </c>
    </row>
    <row r="58" spans="1:1" x14ac:dyDescent="0.2">
      <c r="A58" s="2" t="s">
        <v>51</v>
      </c>
    </row>
    <row r="59" spans="1:1" x14ac:dyDescent="0.2">
      <c r="A59" s="2" t="s">
        <v>52</v>
      </c>
    </row>
    <row r="60" spans="1:1" x14ac:dyDescent="0.2">
      <c r="A60" s="2" t="s">
        <v>53</v>
      </c>
    </row>
    <row r="61" spans="1:1" x14ac:dyDescent="0.2">
      <c r="A61" s="2" t="s">
        <v>54</v>
      </c>
    </row>
    <row r="62" spans="1:1" x14ac:dyDescent="0.2">
      <c r="A62" s="2" t="s">
        <v>55</v>
      </c>
    </row>
    <row r="63" spans="1:1" x14ac:dyDescent="0.2">
      <c r="A63" s="2"/>
    </row>
    <row r="64" spans="1:1" x14ac:dyDescent="0.2">
      <c r="A64" s="1" t="s">
        <v>56</v>
      </c>
    </row>
    <row r="65" spans="1:1" x14ac:dyDescent="0.2">
      <c r="A65" s="2" t="s">
        <v>57</v>
      </c>
    </row>
    <row r="66" spans="1:1" x14ac:dyDescent="0.2">
      <c r="A66" s="2" t="s">
        <v>58</v>
      </c>
    </row>
    <row r="67" spans="1:1" x14ac:dyDescent="0.2">
      <c r="A67" s="2" t="s">
        <v>59</v>
      </c>
    </row>
    <row r="68" spans="1:1" x14ac:dyDescent="0.2">
      <c r="A68" s="2" t="s">
        <v>60</v>
      </c>
    </row>
    <row r="69" spans="1:1" x14ac:dyDescent="0.2">
      <c r="A69" s="2" t="s">
        <v>61</v>
      </c>
    </row>
    <row r="70" spans="1:1" x14ac:dyDescent="0.2">
      <c r="A70" s="2" t="s">
        <v>62</v>
      </c>
    </row>
    <row r="71" spans="1:1" x14ac:dyDescent="0.2">
      <c r="A71" s="2"/>
    </row>
    <row r="72" spans="1:1" x14ac:dyDescent="0.2">
      <c r="A72" s="1" t="s">
        <v>63</v>
      </c>
    </row>
    <row r="73" spans="1:1" x14ac:dyDescent="0.2">
      <c r="A73" s="2" t="s">
        <v>391</v>
      </c>
    </row>
  </sheetData>
  <mergeCells count="2">
    <mergeCell ref="A2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J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D19" sqref="D19"/>
    </sheetView>
  </sheetViews>
  <sheetFormatPr baseColWidth="10" defaultColWidth="8.83203125" defaultRowHeight="15" x14ac:dyDescent="0.2"/>
  <cols>
    <col min="1" max="1" width="34" customWidth="1"/>
    <col min="2" max="8" width="16" customWidth="1"/>
  </cols>
  <sheetData>
    <row r="1" spans="1:10" ht="26" customHeight="1" x14ac:dyDescent="0.2">
      <c r="A1" s="46" t="s">
        <v>64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x14ac:dyDescent="0.2">
      <c r="A2" s="45" t="s">
        <v>65</v>
      </c>
      <c r="B2" s="48"/>
      <c r="C2" s="48"/>
      <c r="D2" s="48"/>
      <c r="E2" s="48"/>
      <c r="F2" s="48"/>
      <c r="G2" s="48"/>
      <c r="H2" s="48"/>
      <c r="I2" s="48"/>
      <c r="J2" s="48"/>
    </row>
    <row r="4" spans="1:10" ht="18" customHeight="1" x14ac:dyDescent="0.2">
      <c r="A4" s="47" t="s">
        <v>66</v>
      </c>
      <c r="B4" s="48"/>
      <c r="C4" s="48"/>
      <c r="D4" s="48"/>
      <c r="E4" s="48"/>
      <c r="F4" s="48"/>
      <c r="G4" s="48"/>
      <c r="H4" s="48"/>
      <c r="I4" s="48"/>
    </row>
    <row r="5" spans="1:10" x14ac:dyDescent="0.2">
      <c r="A5" s="3" t="s">
        <v>67</v>
      </c>
      <c r="B5" s="4" t="s">
        <v>68</v>
      </c>
    </row>
    <row r="6" spans="1:10" x14ac:dyDescent="0.2">
      <c r="A6" s="3" t="s">
        <v>69</v>
      </c>
      <c r="B6" s="4" t="s">
        <v>70</v>
      </c>
    </row>
    <row r="7" spans="1:10" x14ac:dyDescent="0.2">
      <c r="A7" s="3" t="s">
        <v>71</v>
      </c>
      <c r="B7" s="4" t="s">
        <v>72</v>
      </c>
    </row>
    <row r="8" spans="1:10" x14ac:dyDescent="0.2">
      <c r="A8" s="3" t="s">
        <v>73</v>
      </c>
      <c r="B8" s="4" t="s">
        <v>74</v>
      </c>
    </row>
    <row r="9" spans="1:10" x14ac:dyDescent="0.2">
      <c r="A9" s="3" t="s">
        <v>75</v>
      </c>
      <c r="B9" s="4" t="s">
        <v>392</v>
      </c>
    </row>
    <row r="10" spans="1:10" x14ac:dyDescent="0.2">
      <c r="A10" s="3" t="s">
        <v>76</v>
      </c>
      <c r="B10" s="4" t="s">
        <v>77</v>
      </c>
    </row>
    <row r="11" spans="1:10" x14ac:dyDescent="0.2">
      <c r="A11" s="3" t="s">
        <v>78</v>
      </c>
      <c r="B11" s="4" t="s">
        <v>79</v>
      </c>
    </row>
    <row r="12" spans="1:10" x14ac:dyDescent="0.2">
      <c r="A12" s="3" t="s">
        <v>80</v>
      </c>
      <c r="B12" s="4" t="s">
        <v>81</v>
      </c>
    </row>
    <row r="14" spans="1:10" ht="18" customHeight="1" x14ac:dyDescent="0.2">
      <c r="A14" s="47" t="s">
        <v>82</v>
      </c>
      <c r="B14" s="48"/>
      <c r="C14" s="48"/>
      <c r="D14" s="48"/>
      <c r="E14" s="48"/>
      <c r="F14" s="48"/>
      <c r="G14" s="48"/>
      <c r="H14" s="48"/>
      <c r="I14" s="48"/>
    </row>
    <row r="15" spans="1:10" x14ac:dyDescent="0.2">
      <c r="A15" s="5" t="s">
        <v>83</v>
      </c>
      <c r="B15" s="4" t="s">
        <v>84</v>
      </c>
      <c r="C15" s="3" t="s">
        <v>85</v>
      </c>
    </row>
    <row r="16" spans="1:10" x14ac:dyDescent="0.2">
      <c r="A16" s="3" t="s">
        <v>86</v>
      </c>
      <c r="B16" s="6">
        <f>MATCH(B15,{"Bear","Base","Bull"},0)</f>
        <v>2</v>
      </c>
    </row>
    <row r="18" spans="1:9" ht="18" customHeight="1" x14ac:dyDescent="0.2">
      <c r="A18" s="47" t="s">
        <v>87</v>
      </c>
      <c r="B18" s="48"/>
      <c r="C18" s="48"/>
      <c r="D18" s="48"/>
      <c r="E18" s="48"/>
      <c r="F18" s="48"/>
      <c r="G18" s="48"/>
      <c r="H18" s="48"/>
      <c r="I18" s="48"/>
    </row>
    <row r="19" spans="1:9" x14ac:dyDescent="0.2">
      <c r="A19" s="3" t="s">
        <v>88</v>
      </c>
      <c r="B19" s="7">
        <v>90</v>
      </c>
    </row>
    <row r="20" spans="1:9" x14ac:dyDescent="0.2">
      <c r="A20" s="3" t="s">
        <v>89</v>
      </c>
      <c r="B20" s="7">
        <v>410</v>
      </c>
    </row>
    <row r="21" spans="1:9" x14ac:dyDescent="0.2">
      <c r="A21" s="3" t="s">
        <v>90</v>
      </c>
      <c r="B21" s="7">
        <v>250</v>
      </c>
    </row>
    <row r="22" spans="1:9" x14ac:dyDescent="0.2">
      <c r="A22" s="3" t="s">
        <v>91</v>
      </c>
      <c r="B22" s="7">
        <v>18</v>
      </c>
    </row>
    <row r="23" spans="1:9" x14ac:dyDescent="0.2">
      <c r="A23" s="3" t="s">
        <v>92</v>
      </c>
      <c r="B23" s="7">
        <v>20</v>
      </c>
    </row>
    <row r="24" spans="1:9" x14ac:dyDescent="0.2">
      <c r="A24" s="3" t="s">
        <v>93</v>
      </c>
      <c r="B24" s="7">
        <v>300</v>
      </c>
    </row>
    <row r="25" spans="1:9" x14ac:dyDescent="0.2">
      <c r="A25" s="3" t="s">
        <v>94</v>
      </c>
      <c r="B25" s="7">
        <v>850</v>
      </c>
    </row>
    <row r="26" spans="1:9" x14ac:dyDescent="0.2">
      <c r="A26" s="3" t="s">
        <v>95</v>
      </c>
      <c r="B26" s="7">
        <v>119</v>
      </c>
    </row>
    <row r="27" spans="1:9" x14ac:dyDescent="0.2">
      <c r="A27" s="3" t="s">
        <v>96</v>
      </c>
      <c r="B27" s="7">
        <v>76</v>
      </c>
    </row>
    <row r="28" spans="1:9" x14ac:dyDescent="0.2">
      <c r="A28" s="3" t="s">
        <v>97</v>
      </c>
      <c r="B28" s="7">
        <v>24</v>
      </c>
    </row>
    <row r="29" spans="1:9" x14ac:dyDescent="0.2">
      <c r="A29" s="3" t="s">
        <v>98</v>
      </c>
      <c r="B29" s="7">
        <v>64</v>
      </c>
    </row>
    <row r="30" spans="1:9" x14ac:dyDescent="0.2">
      <c r="A30" s="3" t="s">
        <v>99</v>
      </c>
      <c r="B30" s="7">
        <v>47</v>
      </c>
    </row>
    <row r="31" spans="1:9" x14ac:dyDescent="0.2">
      <c r="A31" s="3" t="s">
        <v>100</v>
      </c>
      <c r="B31" s="7">
        <v>20</v>
      </c>
    </row>
    <row r="33" spans="1:9" ht="18" customHeight="1" x14ac:dyDescent="0.2">
      <c r="A33" s="47" t="s">
        <v>101</v>
      </c>
      <c r="B33" s="48"/>
      <c r="C33" s="48"/>
      <c r="D33" s="48"/>
      <c r="E33" s="48"/>
      <c r="F33" s="48"/>
      <c r="G33" s="48"/>
      <c r="H33" s="48"/>
      <c r="I33" s="48"/>
    </row>
    <row r="34" spans="1:9" x14ac:dyDescent="0.2">
      <c r="A34" s="3" t="s">
        <v>102</v>
      </c>
      <c r="B34" s="8">
        <v>0.08</v>
      </c>
    </row>
    <row r="35" spans="1:9" x14ac:dyDescent="0.2">
      <c r="A35" s="3" t="s">
        <v>103</v>
      </c>
      <c r="B35" s="8">
        <v>0.41</v>
      </c>
    </row>
    <row r="36" spans="1:9" x14ac:dyDescent="0.2">
      <c r="A36" s="3" t="s">
        <v>104</v>
      </c>
      <c r="B36" s="8">
        <v>0.25</v>
      </c>
    </row>
    <row r="37" spans="1:9" x14ac:dyDescent="0.2">
      <c r="A37" s="3" t="s">
        <v>105</v>
      </c>
      <c r="B37" s="8">
        <v>4.4999999999999998E-2</v>
      </c>
    </row>
    <row r="38" spans="1:9" x14ac:dyDescent="0.2">
      <c r="A38" s="3" t="s">
        <v>106</v>
      </c>
      <c r="B38" s="8">
        <v>0.05</v>
      </c>
    </row>
    <row r="39" spans="1:9" x14ac:dyDescent="0.2">
      <c r="A39" s="3" t="s">
        <v>107</v>
      </c>
      <c r="B39" s="8">
        <v>0.25</v>
      </c>
    </row>
    <row r="40" spans="1:9" x14ac:dyDescent="0.2">
      <c r="A40" s="3" t="s">
        <v>108</v>
      </c>
      <c r="B40" s="9">
        <v>55</v>
      </c>
    </row>
    <row r="41" spans="1:9" x14ac:dyDescent="0.2">
      <c r="A41" s="3" t="s">
        <v>109</v>
      </c>
      <c r="B41" s="9">
        <v>60</v>
      </c>
    </row>
    <row r="42" spans="1:9" x14ac:dyDescent="0.2">
      <c r="A42" s="3" t="s">
        <v>110</v>
      </c>
      <c r="B42" s="9">
        <v>50</v>
      </c>
    </row>
    <row r="43" spans="1:9" x14ac:dyDescent="0.2">
      <c r="A43" s="3" t="s">
        <v>111</v>
      </c>
      <c r="B43" s="8">
        <v>0.03</v>
      </c>
    </row>
    <row r="44" spans="1:9" x14ac:dyDescent="0.2">
      <c r="A44" s="3" t="s">
        <v>112</v>
      </c>
      <c r="B44" s="8">
        <v>0.06</v>
      </c>
    </row>
    <row r="45" spans="1:9" x14ac:dyDescent="0.2">
      <c r="A45" s="3" t="s">
        <v>113</v>
      </c>
      <c r="B45" s="8">
        <v>2.5000000000000001E-2</v>
      </c>
    </row>
    <row r="46" spans="1:9" x14ac:dyDescent="0.2">
      <c r="A46" s="3" t="s">
        <v>114</v>
      </c>
      <c r="B46" s="8">
        <v>5.5E-2</v>
      </c>
    </row>
    <row r="47" spans="1:9" x14ac:dyDescent="0.2">
      <c r="A47" s="3" t="s">
        <v>115</v>
      </c>
      <c r="B47" s="8">
        <v>0.2</v>
      </c>
    </row>
    <row r="48" spans="1:9" x14ac:dyDescent="0.2">
      <c r="A48" s="3" t="s">
        <v>116</v>
      </c>
      <c r="B48" s="10">
        <v>50</v>
      </c>
    </row>
    <row r="50" spans="1:9" ht="18" customHeight="1" x14ac:dyDescent="0.2">
      <c r="A50" s="47" t="s">
        <v>117</v>
      </c>
      <c r="B50" s="48"/>
      <c r="C50" s="48"/>
      <c r="D50" s="48"/>
      <c r="E50" s="48"/>
      <c r="F50" s="48"/>
      <c r="G50" s="48"/>
      <c r="H50" s="48"/>
      <c r="I50" s="48"/>
    </row>
    <row r="51" spans="1:9" x14ac:dyDescent="0.2">
      <c r="B51" s="11" t="s">
        <v>118</v>
      </c>
      <c r="C51" s="11" t="s">
        <v>119</v>
      </c>
      <c r="D51" s="11" t="s">
        <v>120</v>
      </c>
      <c r="E51" s="11" t="s">
        <v>121</v>
      </c>
      <c r="F51" s="11" t="s">
        <v>122</v>
      </c>
    </row>
    <row r="52" spans="1:9" x14ac:dyDescent="0.2">
      <c r="A52" s="5" t="s">
        <v>123</v>
      </c>
      <c r="B52" s="12">
        <f>CHOOSE(Assumptions!$B$16,Scenarios!$B$8,Scenarios!$C$8,Scenarios!$D$8)</f>
        <v>0.09</v>
      </c>
      <c r="C52" s="12">
        <f>CHOOSE(Assumptions!$B$16,Scenarios!$B$9,Scenarios!$C$9,Scenarios!$D$9)</f>
        <v>0.08</v>
      </c>
      <c r="D52" s="12">
        <f>CHOOSE(Assumptions!$B$16,Scenarios!$B$10,Scenarios!$C$10,Scenarios!$D$10)</f>
        <v>7.0000000000000007E-2</v>
      </c>
      <c r="E52" s="12">
        <f>CHOOSE(Assumptions!$B$16,Scenarios!$B$11,Scenarios!$C$11,Scenarios!$D$11)</f>
        <v>6.5000000000000002E-2</v>
      </c>
      <c r="F52" s="12">
        <f>CHOOSE(Assumptions!$B$16,Scenarios!$B$12,Scenarios!$C$12,Scenarios!$D$12)</f>
        <v>0.06</v>
      </c>
    </row>
    <row r="53" spans="1:9" x14ac:dyDescent="0.2">
      <c r="A53" s="5" t="s">
        <v>103</v>
      </c>
      <c r="B53" s="12">
        <f>CHOOSE(Assumptions!$B$16,Scenarios!$B$13,Scenarios!$C$13,Scenarios!$D$13)</f>
        <v>0.41499999999999998</v>
      </c>
      <c r="C53" s="3" t="s">
        <v>124</v>
      </c>
    </row>
    <row r="54" spans="1:9" x14ac:dyDescent="0.2">
      <c r="A54" s="5" t="s">
        <v>104</v>
      </c>
      <c r="B54" s="12">
        <f>CHOOSE(Assumptions!$B$16,Scenarios!$B$14,Scenarios!$C$14,Scenarios!$D$14)</f>
        <v>0.245</v>
      </c>
      <c r="C54" s="3" t="s">
        <v>124</v>
      </c>
    </row>
    <row r="55" spans="1:9" x14ac:dyDescent="0.2">
      <c r="A55" s="5" t="s">
        <v>105</v>
      </c>
      <c r="B55" s="12">
        <f>CHOOSE(Assumptions!$B$16,Scenarios!$B$15,Scenarios!$C$15,Scenarios!$D$15)</f>
        <v>4.4999999999999998E-2</v>
      </c>
      <c r="C55" s="3" t="s">
        <v>124</v>
      </c>
    </row>
    <row r="56" spans="1:9" x14ac:dyDescent="0.2">
      <c r="A56" s="5" t="s">
        <v>106</v>
      </c>
      <c r="B56" s="12">
        <f>CHOOSE(Assumptions!$B$16,Scenarios!$B$16,Scenarios!$C$16,Scenarios!$D$16)</f>
        <v>0.05</v>
      </c>
      <c r="C56" s="3" t="s">
        <v>124</v>
      </c>
    </row>
    <row r="57" spans="1:9" x14ac:dyDescent="0.2">
      <c r="A57" s="5" t="s">
        <v>125</v>
      </c>
      <c r="B57" s="13">
        <f>CHOOSE(Assumptions!$B$16,Scenarios!$B$17,Scenarios!$C$17,Scenarios!$D$17)</f>
        <v>1.1499999999999999</v>
      </c>
      <c r="C57" s="3" t="s">
        <v>124</v>
      </c>
    </row>
    <row r="59" spans="1:9" ht="18" customHeight="1" x14ac:dyDescent="0.2">
      <c r="A59" s="47" t="s">
        <v>126</v>
      </c>
      <c r="B59" s="48"/>
      <c r="C59" s="48"/>
      <c r="D59" s="48"/>
      <c r="E59" s="48"/>
      <c r="F59" s="48"/>
      <c r="G59" s="48"/>
      <c r="H59" s="48"/>
      <c r="I59" s="48"/>
    </row>
    <row r="60" spans="1:9" x14ac:dyDescent="0.2">
      <c r="A60" s="3" t="s">
        <v>107</v>
      </c>
      <c r="B60" s="8">
        <v>0.25</v>
      </c>
    </row>
    <row r="61" spans="1:9" x14ac:dyDescent="0.2">
      <c r="A61" s="3" t="s">
        <v>127</v>
      </c>
      <c r="B61" s="9">
        <v>52</v>
      </c>
    </row>
    <row r="62" spans="1:9" x14ac:dyDescent="0.2">
      <c r="A62" s="3" t="s">
        <v>128</v>
      </c>
      <c r="B62" s="9">
        <v>58</v>
      </c>
    </row>
    <row r="63" spans="1:9" x14ac:dyDescent="0.2">
      <c r="A63" s="3" t="s">
        <v>129</v>
      </c>
      <c r="B63" s="9">
        <v>50</v>
      </c>
    </row>
    <row r="64" spans="1:9" x14ac:dyDescent="0.2">
      <c r="A64" s="3" t="s">
        <v>111</v>
      </c>
      <c r="B64" s="8">
        <v>0.03</v>
      </c>
    </row>
    <row r="65" spans="1:9" x14ac:dyDescent="0.2">
      <c r="A65" s="3" t="s">
        <v>112</v>
      </c>
      <c r="B65" s="8">
        <v>0.06</v>
      </c>
    </row>
    <row r="66" spans="1:9" x14ac:dyDescent="0.2">
      <c r="A66" s="3" t="s">
        <v>113</v>
      </c>
      <c r="B66" s="8">
        <v>2.5000000000000001E-2</v>
      </c>
    </row>
    <row r="67" spans="1:9" x14ac:dyDescent="0.2">
      <c r="A67" s="3" t="s">
        <v>114</v>
      </c>
      <c r="B67" s="8">
        <v>5.5E-2</v>
      </c>
    </row>
    <row r="68" spans="1:9" x14ac:dyDescent="0.2">
      <c r="A68" s="3" t="s">
        <v>115</v>
      </c>
      <c r="B68" s="8">
        <v>0.25</v>
      </c>
    </row>
    <row r="69" spans="1:9" x14ac:dyDescent="0.2">
      <c r="A69" s="3" t="s">
        <v>130</v>
      </c>
      <c r="B69" s="7">
        <v>0</v>
      </c>
    </row>
    <row r="70" spans="1:9" x14ac:dyDescent="0.2">
      <c r="A70" s="3" t="s">
        <v>116</v>
      </c>
      <c r="B70" s="10">
        <v>50</v>
      </c>
    </row>
    <row r="72" spans="1:9" ht="18" customHeight="1" x14ac:dyDescent="0.2">
      <c r="A72" s="47" t="s">
        <v>131</v>
      </c>
      <c r="B72" s="48"/>
      <c r="C72" s="48"/>
      <c r="D72" s="48"/>
      <c r="E72" s="48"/>
      <c r="F72" s="48"/>
      <c r="G72" s="48"/>
      <c r="H72" s="48"/>
      <c r="I72" s="48"/>
    </row>
    <row r="73" spans="1:9" x14ac:dyDescent="0.2">
      <c r="A73" s="3" t="s">
        <v>132</v>
      </c>
      <c r="B73" s="14">
        <v>4.2000000000000003E-2</v>
      </c>
    </row>
    <row r="74" spans="1:9" x14ac:dyDescent="0.2">
      <c r="A74" s="3" t="s">
        <v>133</v>
      </c>
      <c r="B74" s="14">
        <v>0.05</v>
      </c>
    </row>
    <row r="75" spans="1:9" x14ac:dyDescent="0.2">
      <c r="A75" s="3" t="s">
        <v>134</v>
      </c>
      <c r="B75" s="14">
        <v>6.5000000000000002E-2</v>
      </c>
    </row>
    <row r="76" spans="1:9" x14ac:dyDescent="0.2">
      <c r="A76" s="3" t="s">
        <v>135</v>
      </c>
      <c r="B76" s="8">
        <v>0.25</v>
      </c>
    </row>
    <row r="77" spans="1:9" x14ac:dyDescent="0.2">
      <c r="A77" s="3" t="s">
        <v>136</v>
      </c>
      <c r="B77" s="15">
        <v>42</v>
      </c>
    </row>
    <row r="78" spans="1:9" x14ac:dyDescent="0.2">
      <c r="A78" s="3" t="s">
        <v>137</v>
      </c>
      <c r="B78" s="16">
        <v>8.5</v>
      </c>
    </row>
    <row r="79" spans="1:9" x14ac:dyDescent="0.2">
      <c r="A79" s="5" t="s">
        <v>138</v>
      </c>
      <c r="B79" s="17">
        <f>CHOOSE(Assumptions!$B$16,Scenarios!$B$18,Scenarios!$C$18,Scenarios!$D$18)</f>
        <v>2.5000000000000001E-2</v>
      </c>
      <c r="C79" s="3" t="s">
        <v>139</v>
      </c>
    </row>
  </sheetData>
  <mergeCells count="9">
    <mergeCell ref="A72:I72"/>
    <mergeCell ref="A59:I59"/>
    <mergeCell ref="A1:J1"/>
    <mergeCell ref="A33:I33"/>
    <mergeCell ref="A14:I14"/>
    <mergeCell ref="A18:I18"/>
    <mergeCell ref="A2:J2"/>
    <mergeCell ref="A50:I50"/>
    <mergeCell ref="A4:I4"/>
  </mergeCells>
  <dataValidations count="1">
    <dataValidation type="list" sqref="B15" xr:uid="{00000000-0002-0000-0100-000000000000}">
      <formula1>"Bear,Base,Bull"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J24"/>
  <sheetViews>
    <sheetView showGridLines="0" workbookViewId="0">
      <pane xSplit="1" ySplit="8" topLeftCell="B9" activePane="bottomRight" state="frozen"/>
      <selection pane="topRight"/>
      <selection pane="bottomLeft"/>
      <selection pane="bottomRight" sqref="A1:J1"/>
    </sheetView>
  </sheetViews>
  <sheetFormatPr baseColWidth="10" defaultColWidth="8.83203125" defaultRowHeight="15" x14ac:dyDescent="0.2"/>
  <cols>
    <col min="1" max="1" width="30" customWidth="1"/>
    <col min="2" max="4" width="14" customWidth="1"/>
    <col min="5" max="5" width="46" customWidth="1"/>
  </cols>
  <sheetData>
    <row r="1" spans="1:10" ht="26" customHeight="1" x14ac:dyDescent="0.2">
      <c r="A1" s="46" t="s">
        <v>140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x14ac:dyDescent="0.2">
      <c r="A2" s="45" t="s">
        <v>141</v>
      </c>
      <c r="B2" s="48"/>
      <c r="C2" s="48"/>
      <c r="D2" s="48"/>
      <c r="E2" s="48"/>
      <c r="F2" s="48"/>
      <c r="G2" s="48"/>
      <c r="H2" s="48"/>
      <c r="I2" s="48"/>
      <c r="J2" s="48"/>
    </row>
    <row r="7" spans="1:10" x14ac:dyDescent="0.2">
      <c r="A7" s="18" t="s">
        <v>142</v>
      </c>
      <c r="B7" s="18" t="s">
        <v>143</v>
      </c>
      <c r="C7" s="18" t="s">
        <v>84</v>
      </c>
      <c r="D7" s="18" t="s">
        <v>144</v>
      </c>
      <c r="E7" s="18" t="s">
        <v>145</v>
      </c>
    </row>
    <row r="8" spans="1:10" x14ac:dyDescent="0.2">
      <c r="A8" s="3" t="s">
        <v>146</v>
      </c>
      <c r="B8" s="8">
        <v>0.03</v>
      </c>
      <c r="C8" s="8">
        <v>0.09</v>
      </c>
      <c r="D8" s="8">
        <v>0.13</v>
      </c>
      <c r="E8" s="3" t="s">
        <v>147</v>
      </c>
    </row>
    <row r="9" spans="1:10" x14ac:dyDescent="0.2">
      <c r="A9" s="3" t="s">
        <v>148</v>
      </c>
      <c r="B9" s="8">
        <v>0.02</v>
      </c>
      <c r="C9" s="8">
        <v>0.08</v>
      </c>
      <c r="D9" s="8">
        <v>0.12</v>
      </c>
      <c r="E9" s="3"/>
    </row>
    <row r="10" spans="1:10" x14ac:dyDescent="0.2">
      <c r="A10" s="3" t="s">
        <v>149</v>
      </c>
      <c r="B10" s="8">
        <v>0.02</v>
      </c>
      <c r="C10" s="8">
        <v>7.0000000000000007E-2</v>
      </c>
      <c r="D10" s="8">
        <v>0.11</v>
      </c>
      <c r="E10" s="3"/>
    </row>
    <row r="11" spans="1:10" x14ac:dyDescent="0.2">
      <c r="A11" s="3" t="s">
        <v>150</v>
      </c>
      <c r="B11" s="8">
        <v>1.4999999999999999E-2</v>
      </c>
      <c r="C11" s="8">
        <v>6.5000000000000002E-2</v>
      </c>
      <c r="D11" s="8">
        <v>0.1</v>
      </c>
      <c r="E11" s="3"/>
    </row>
    <row r="12" spans="1:10" x14ac:dyDescent="0.2">
      <c r="A12" s="3" t="s">
        <v>151</v>
      </c>
      <c r="B12" s="8">
        <v>1.4999999999999999E-2</v>
      </c>
      <c r="C12" s="8">
        <v>0.06</v>
      </c>
      <c r="D12" s="8">
        <v>9.5000000000000001E-2</v>
      </c>
      <c r="E12" s="3" t="s">
        <v>152</v>
      </c>
    </row>
    <row r="13" spans="1:10" x14ac:dyDescent="0.2">
      <c r="A13" s="3" t="s">
        <v>103</v>
      </c>
      <c r="B13" s="8">
        <v>0.37</v>
      </c>
      <c r="C13" s="8">
        <v>0.41499999999999998</v>
      </c>
      <c r="D13" s="8">
        <v>0.44</v>
      </c>
      <c r="E13" s="3" t="s">
        <v>153</v>
      </c>
    </row>
    <row r="14" spans="1:10" x14ac:dyDescent="0.2">
      <c r="A14" s="3" t="s">
        <v>104</v>
      </c>
      <c r="B14" s="8">
        <v>0.27</v>
      </c>
      <c r="C14" s="8">
        <v>0.245</v>
      </c>
      <c r="D14" s="8">
        <v>0.22500000000000001</v>
      </c>
      <c r="E14" s="3" t="s">
        <v>154</v>
      </c>
    </row>
    <row r="15" spans="1:10" x14ac:dyDescent="0.2">
      <c r="A15" s="3" t="s">
        <v>105</v>
      </c>
      <c r="B15" s="8">
        <v>0.05</v>
      </c>
      <c r="C15" s="8">
        <v>4.4999999999999998E-2</v>
      </c>
      <c r="D15" s="8">
        <v>0.04</v>
      </c>
      <c r="E15" s="3" t="s">
        <v>155</v>
      </c>
    </row>
    <row r="16" spans="1:10" x14ac:dyDescent="0.2">
      <c r="A16" s="3" t="s">
        <v>106</v>
      </c>
      <c r="B16" s="8">
        <v>6.5000000000000002E-2</v>
      </c>
      <c r="C16" s="8">
        <v>0.05</v>
      </c>
      <c r="D16" s="8">
        <v>4.4999999999999998E-2</v>
      </c>
      <c r="E16" s="3"/>
    </row>
    <row r="17" spans="1:5" x14ac:dyDescent="0.2">
      <c r="A17" s="3" t="s">
        <v>125</v>
      </c>
      <c r="B17" s="19">
        <v>1.35</v>
      </c>
      <c r="C17" s="19">
        <v>1.1499999999999999</v>
      </c>
      <c r="D17" s="19">
        <v>1</v>
      </c>
      <c r="E17" s="3" t="s">
        <v>156</v>
      </c>
    </row>
    <row r="18" spans="1:5" x14ac:dyDescent="0.2">
      <c r="A18" s="3" t="s">
        <v>138</v>
      </c>
      <c r="B18" s="14">
        <v>1.4999999999999999E-2</v>
      </c>
      <c r="C18" s="14">
        <v>2.5000000000000001E-2</v>
      </c>
      <c r="D18" s="14">
        <v>3.2000000000000001E-2</v>
      </c>
      <c r="E18" s="3" t="s">
        <v>157</v>
      </c>
    </row>
    <row r="20" spans="1:5" ht="18" customHeight="1" x14ac:dyDescent="0.2">
      <c r="A20" s="47" t="s">
        <v>158</v>
      </c>
      <c r="B20" s="48"/>
      <c r="C20" s="48"/>
      <c r="D20" s="48"/>
      <c r="E20" s="48"/>
    </row>
    <row r="21" spans="1:5" x14ac:dyDescent="0.2">
      <c r="A21" s="3" t="s">
        <v>159</v>
      </c>
    </row>
    <row r="22" spans="1:5" x14ac:dyDescent="0.2">
      <c r="A22" s="3" t="s">
        <v>160</v>
      </c>
    </row>
    <row r="23" spans="1:5" x14ac:dyDescent="0.2">
      <c r="A23" s="3" t="s">
        <v>161</v>
      </c>
    </row>
    <row r="24" spans="1:5" x14ac:dyDescent="0.2">
      <c r="A24" s="3" t="s">
        <v>162</v>
      </c>
    </row>
  </sheetData>
  <mergeCells count="3">
    <mergeCell ref="A1:J1"/>
    <mergeCell ref="A20:E20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I65"/>
  <sheetViews>
    <sheetView showGridLines="0" workbookViewId="0">
      <pane xSplit="4" ySplit="5" topLeftCell="E6" activePane="bottomRight" state="frozen"/>
      <selection pane="topRight"/>
      <selection pane="bottomLeft"/>
      <selection pane="bottomRight" sqref="A1:I1"/>
    </sheetView>
  </sheetViews>
  <sheetFormatPr baseColWidth="10" defaultColWidth="8.83203125" defaultRowHeight="15" x14ac:dyDescent="0.2"/>
  <cols>
    <col min="1" max="1" width="32" customWidth="1"/>
    <col min="2" max="9" width="13" customWidth="1"/>
  </cols>
  <sheetData>
    <row r="1" spans="1:9" ht="26" customHeight="1" x14ac:dyDescent="0.2">
      <c r="A1" s="46" t="s">
        <v>163</v>
      </c>
      <c r="B1" s="48"/>
      <c r="C1" s="48"/>
      <c r="D1" s="48"/>
      <c r="E1" s="48"/>
      <c r="F1" s="48"/>
      <c r="G1" s="48"/>
      <c r="H1" s="48"/>
      <c r="I1" s="48"/>
    </row>
    <row r="2" spans="1:9" x14ac:dyDescent="0.2">
      <c r="A2" s="45" t="s">
        <v>164</v>
      </c>
      <c r="B2" s="48"/>
      <c r="C2" s="48"/>
      <c r="D2" s="48"/>
      <c r="E2" s="48"/>
      <c r="F2" s="48"/>
      <c r="G2" s="48"/>
      <c r="H2" s="48"/>
      <c r="I2" s="48"/>
    </row>
    <row r="4" spans="1:9" x14ac:dyDescent="0.2">
      <c r="A4" s="5" t="s">
        <v>165</v>
      </c>
      <c r="B4" s="20" t="s">
        <v>166</v>
      </c>
      <c r="C4" s="20" t="s">
        <v>167</v>
      </c>
      <c r="D4" s="20" t="s">
        <v>168</v>
      </c>
      <c r="E4" s="21" t="s">
        <v>118</v>
      </c>
      <c r="F4" s="21" t="s">
        <v>119</v>
      </c>
      <c r="G4" s="21" t="s">
        <v>120</v>
      </c>
      <c r="H4" s="21" t="s">
        <v>121</v>
      </c>
      <c r="I4" s="21" t="s">
        <v>122</v>
      </c>
    </row>
    <row r="5" spans="1:9" ht="18" customHeight="1" x14ac:dyDescent="0.2">
      <c r="A5" s="47" t="s">
        <v>169</v>
      </c>
      <c r="B5" s="48"/>
      <c r="C5" s="48"/>
      <c r="D5" s="48"/>
      <c r="E5" s="48"/>
      <c r="F5" s="48"/>
      <c r="G5" s="48"/>
      <c r="H5" s="48"/>
      <c r="I5" s="48"/>
    </row>
    <row r="6" spans="1:9" x14ac:dyDescent="0.2">
      <c r="A6" s="5" t="s">
        <v>170</v>
      </c>
      <c r="B6" s="22">
        <f>Assumptions!$B$25</f>
        <v>850</v>
      </c>
      <c r="C6" s="22">
        <f>B6*(1+Assumptions!$B$34)</f>
        <v>918.00000000000011</v>
      </c>
      <c r="D6" s="22">
        <f>C6*(1+Assumptions!$B$34)</f>
        <v>991.44000000000017</v>
      </c>
      <c r="E6" s="22">
        <f>D6*(1+Assumptions!$B$52)</f>
        <v>1080.6696000000002</v>
      </c>
      <c r="F6" s="22">
        <f>E6*(1+Assumptions!$C$52)</f>
        <v>1167.1231680000003</v>
      </c>
      <c r="G6" s="22">
        <f>F6*(1+Assumptions!$D$52)</f>
        <v>1248.8217897600005</v>
      </c>
      <c r="H6" s="22">
        <f>G6*(1+Assumptions!$E$52)</f>
        <v>1329.9952060944004</v>
      </c>
      <c r="I6" s="22">
        <f>H6*(1+Assumptions!$F$52)</f>
        <v>1409.7949184600645</v>
      </c>
    </row>
    <row r="7" spans="1:9" x14ac:dyDescent="0.2">
      <c r="A7" s="3" t="s">
        <v>171</v>
      </c>
      <c r="B7" s="23" t="s">
        <v>172</v>
      </c>
      <c r="C7" s="23">
        <f t="shared" ref="C7:I7" si="0">C6/B6-1</f>
        <v>8.0000000000000071E-2</v>
      </c>
      <c r="D7" s="23">
        <f t="shared" si="0"/>
        <v>8.0000000000000071E-2</v>
      </c>
      <c r="E7" s="23">
        <f t="shared" si="0"/>
        <v>9.000000000000008E-2</v>
      </c>
      <c r="F7" s="23">
        <f t="shared" si="0"/>
        <v>8.0000000000000071E-2</v>
      </c>
      <c r="G7" s="23">
        <f t="shared" si="0"/>
        <v>7.0000000000000062E-2</v>
      </c>
      <c r="H7" s="23">
        <f t="shared" si="0"/>
        <v>6.4999999999999947E-2</v>
      </c>
      <c r="I7" s="23">
        <f t="shared" si="0"/>
        <v>6.0000000000000053E-2</v>
      </c>
    </row>
    <row r="8" spans="1:9" x14ac:dyDescent="0.2">
      <c r="A8" s="3" t="s">
        <v>173</v>
      </c>
      <c r="B8" s="24">
        <f>B6*(1-Assumptions!$B$35)</f>
        <v>501.50000000000006</v>
      </c>
      <c r="C8" s="24">
        <f>C6*(1-Assumptions!$B$35)</f>
        <v>541.62000000000012</v>
      </c>
      <c r="D8" s="24">
        <f>D6*(1-Assumptions!$B$35)</f>
        <v>584.94960000000015</v>
      </c>
      <c r="E8" s="24">
        <f>E6*(1-Assumptions!$B$53)</f>
        <v>632.19171600000004</v>
      </c>
      <c r="F8" s="24">
        <f>F6*(1-Assumptions!$B$53)</f>
        <v>682.76705328000014</v>
      </c>
      <c r="G8" s="24">
        <f>G6*(1-Assumptions!$B$53)</f>
        <v>730.56074700960028</v>
      </c>
      <c r="H8" s="24">
        <f>H6*(1-Assumptions!$B$53)</f>
        <v>778.04719556522411</v>
      </c>
      <c r="I8" s="24">
        <f>I6*(1-Assumptions!$B$53)</f>
        <v>824.73002729913776</v>
      </c>
    </row>
    <row r="9" spans="1:9" x14ac:dyDescent="0.2">
      <c r="A9" s="3" t="s">
        <v>174</v>
      </c>
      <c r="B9" s="24">
        <f t="shared" ref="B9:I9" si="1">B6-B8</f>
        <v>348.49999999999994</v>
      </c>
      <c r="C9" s="24">
        <f t="shared" si="1"/>
        <v>376.38</v>
      </c>
      <c r="D9" s="24">
        <f t="shared" si="1"/>
        <v>406.49040000000002</v>
      </c>
      <c r="E9" s="24">
        <f t="shared" si="1"/>
        <v>448.47788400000013</v>
      </c>
      <c r="F9" s="24">
        <f t="shared" si="1"/>
        <v>484.35611472000016</v>
      </c>
      <c r="G9" s="24">
        <f t="shared" si="1"/>
        <v>518.26104275040018</v>
      </c>
      <c r="H9" s="24">
        <f t="shared" si="1"/>
        <v>551.94801052917626</v>
      </c>
      <c r="I9" s="24">
        <f t="shared" si="1"/>
        <v>585.06489116092678</v>
      </c>
    </row>
    <row r="10" spans="1:9" x14ac:dyDescent="0.2">
      <c r="A10" s="3" t="s">
        <v>175</v>
      </c>
      <c r="B10" s="23">
        <f t="shared" ref="B10:I10" si="2">B9/B6</f>
        <v>0.40999999999999992</v>
      </c>
      <c r="C10" s="23">
        <f t="shared" si="2"/>
        <v>0.40999999999999992</v>
      </c>
      <c r="D10" s="23">
        <f t="shared" si="2"/>
        <v>0.41</v>
      </c>
      <c r="E10" s="23">
        <f t="shared" si="2"/>
        <v>0.41500000000000004</v>
      </c>
      <c r="F10" s="23">
        <f t="shared" si="2"/>
        <v>0.41500000000000004</v>
      </c>
      <c r="G10" s="23">
        <f t="shared" si="2"/>
        <v>0.41499999999999998</v>
      </c>
      <c r="H10" s="23">
        <f t="shared" si="2"/>
        <v>0.41500000000000009</v>
      </c>
      <c r="I10" s="23">
        <f t="shared" si="2"/>
        <v>0.41499999999999998</v>
      </c>
    </row>
    <row r="11" spans="1:9" x14ac:dyDescent="0.2">
      <c r="A11" s="3" t="s">
        <v>176</v>
      </c>
      <c r="B11" s="24">
        <f>B6*Assumptions!$B$36</f>
        <v>212.5</v>
      </c>
      <c r="C11" s="24">
        <f>C6*Assumptions!$B$36</f>
        <v>229.50000000000003</v>
      </c>
      <c r="D11" s="24">
        <f>D6*Assumptions!$B$36</f>
        <v>247.86000000000004</v>
      </c>
      <c r="E11" s="24">
        <f>E6*Assumptions!$B$54</f>
        <v>264.76405200000005</v>
      </c>
      <c r="F11" s="24">
        <f>F6*Assumptions!$B$54</f>
        <v>285.94517616000007</v>
      </c>
      <c r="G11" s="24">
        <f>G6*Assumptions!$B$54</f>
        <v>305.96133849120008</v>
      </c>
      <c r="H11" s="24">
        <f>H6*Assumptions!$B$54</f>
        <v>325.84882549312806</v>
      </c>
      <c r="I11" s="24">
        <f>I6*Assumptions!$B$54</f>
        <v>345.39975502271579</v>
      </c>
    </row>
    <row r="12" spans="1:9" x14ac:dyDescent="0.2">
      <c r="A12" s="5" t="s">
        <v>177</v>
      </c>
      <c r="B12" s="22">
        <f t="shared" ref="B12:I12" si="3">B9-B11</f>
        <v>135.99999999999994</v>
      </c>
      <c r="C12" s="22">
        <f t="shared" si="3"/>
        <v>146.87999999999997</v>
      </c>
      <c r="D12" s="22">
        <f t="shared" si="3"/>
        <v>158.63039999999998</v>
      </c>
      <c r="E12" s="22">
        <f t="shared" si="3"/>
        <v>183.71383200000008</v>
      </c>
      <c r="F12" s="22">
        <f t="shared" si="3"/>
        <v>198.41093856000009</v>
      </c>
      <c r="G12" s="22">
        <f t="shared" si="3"/>
        <v>212.2997042592001</v>
      </c>
      <c r="H12" s="22">
        <f t="shared" si="3"/>
        <v>226.0991850360482</v>
      </c>
      <c r="I12" s="22">
        <f t="shared" si="3"/>
        <v>239.66513613821098</v>
      </c>
    </row>
    <row r="13" spans="1:9" x14ac:dyDescent="0.2">
      <c r="A13" s="3" t="s">
        <v>178</v>
      </c>
      <c r="B13" s="23">
        <f t="shared" ref="B13:I13" si="4">B12/B6</f>
        <v>0.15999999999999992</v>
      </c>
      <c r="C13" s="23">
        <f t="shared" si="4"/>
        <v>0.15999999999999995</v>
      </c>
      <c r="D13" s="23">
        <f t="shared" si="4"/>
        <v>0.15999999999999995</v>
      </c>
      <c r="E13" s="23">
        <f t="shared" si="4"/>
        <v>0.17000000000000004</v>
      </c>
      <c r="F13" s="23">
        <f t="shared" si="4"/>
        <v>0.17000000000000004</v>
      </c>
      <c r="G13" s="23">
        <f t="shared" si="4"/>
        <v>0.17</v>
      </c>
      <c r="H13" s="23">
        <f t="shared" si="4"/>
        <v>0.1700000000000001</v>
      </c>
      <c r="I13" s="23">
        <f t="shared" si="4"/>
        <v>0.17</v>
      </c>
    </row>
    <row r="14" spans="1:9" x14ac:dyDescent="0.2">
      <c r="A14" s="3" t="s">
        <v>179</v>
      </c>
      <c r="B14" s="24">
        <f>B6*Assumptions!$B$37</f>
        <v>38.25</v>
      </c>
      <c r="C14" s="24">
        <f>C6*Assumptions!$B$37</f>
        <v>41.31</v>
      </c>
      <c r="D14" s="24">
        <f>D6*Assumptions!$B$37</f>
        <v>44.614800000000002</v>
      </c>
      <c r="E14" s="24">
        <f>E6*Assumptions!$B$55</f>
        <v>48.630132000000003</v>
      </c>
      <c r="F14" s="24">
        <f>F6*Assumptions!$B$55</f>
        <v>52.52054256000001</v>
      </c>
      <c r="G14" s="24">
        <f>G6*Assumptions!$B$55</f>
        <v>56.19698053920002</v>
      </c>
      <c r="H14" s="24">
        <f>H6*Assumptions!$B$55</f>
        <v>59.849784274248016</v>
      </c>
      <c r="I14" s="24">
        <f>I6*Assumptions!$B$55</f>
        <v>63.440771330702901</v>
      </c>
    </row>
    <row r="15" spans="1:9" x14ac:dyDescent="0.2">
      <c r="A15" s="5" t="s">
        <v>180</v>
      </c>
      <c r="B15" s="22">
        <f t="shared" ref="B15:I15" si="5">B12-B14</f>
        <v>97.749999999999943</v>
      </c>
      <c r="C15" s="22">
        <f t="shared" si="5"/>
        <v>105.56999999999996</v>
      </c>
      <c r="D15" s="22">
        <f t="shared" si="5"/>
        <v>114.01559999999998</v>
      </c>
      <c r="E15" s="22">
        <f t="shared" si="5"/>
        <v>135.08370000000008</v>
      </c>
      <c r="F15" s="22">
        <f t="shared" si="5"/>
        <v>145.89039600000007</v>
      </c>
      <c r="G15" s="22">
        <f t="shared" si="5"/>
        <v>156.10272372000009</v>
      </c>
      <c r="H15" s="22">
        <f t="shared" si="5"/>
        <v>166.24940076180019</v>
      </c>
      <c r="I15" s="22">
        <f t="shared" si="5"/>
        <v>176.2243648075081</v>
      </c>
    </row>
    <row r="16" spans="1:9" x14ac:dyDescent="0.2">
      <c r="A16" s="3" t="s">
        <v>181</v>
      </c>
      <c r="B16" s="24">
        <f>(Assumptions!$B$23+Assumptions!$B$24)*Assumptions!$B$46</f>
        <v>17.600000000000001</v>
      </c>
      <c r="C16" s="24">
        <f>(B34+B35)*Assumptions!$B$46</f>
        <v>17.600000000000001</v>
      </c>
      <c r="D16" s="24">
        <f>(C34+C35)*Assumptions!$B$46</f>
        <v>17.600000000000001</v>
      </c>
      <c r="E16" s="24">
        <f>(D34+D35)*Assumptions!$B$67</f>
        <v>17.600000000000001</v>
      </c>
      <c r="F16" s="24">
        <f>(E34+E35)*Assumptions!$B$67</f>
        <v>17.600000000000001</v>
      </c>
      <c r="G16" s="24">
        <f>(F34+F35)*Assumptions!$B$67</f>
        <v>17.600000000000001</v>
      </c>
      <c r="H16" s="24">
        <f>(G34+G35)*Assumptions!$B$67</f>
        <v>17.600000000000001</v>
      </c>
      <c r="I16" s="24">
        <f>(H34+H35)*Assumptions!$B$67</f>
        <v>17.600000000000001</v>
      </c>
    </row>
    <row r="17" spans="1:9" x14ac:dyDescent="0.2">
      <c r="A17" s="3" t="s">
        <v>182</v>
      </c>
      <c r="B17" s="24">
        <f t="shared" ref="B17:I17" si="6">B15-B16</f>
        <v>80.149999999999949</v>
      </c>
      <c r="C17" s="24">
        <f t="shared" si="6"/>
        <v>87.96999999999997</v>
      </c>
      <c r="D17" s="24">
        <f t="shared" si="6"/>
        <v>96.415599999999984</v>
      </c>
      <c r="E17" s="24">
        <f t="shared" si="6"/>
        <v>117.48370000000008</v>
      </c>
      <c r="F17" s="24">
        <f t="shared" si="6"/>
        <v>128.29039600000007</v>
      </c>
      <c r="G17" s="24">
        <f t="shared" si="6"/>
        <v>138.50272372000009</v>
      </c>
      <c r="H17" s="24">
        <f t="shared" si="6"/>
        <v>148.64940076180019</v>
      </c>
      <c r="I17" s="24">
        <f t="shared" si="6"/>
        <v>158.6243648075081</v>
      </c>
    </row>
    <row r="18" spans="1:9" x14ac:dyDescent="0.2">
      <c r="A18" s="3" t="s">
        <v>183</v>
      </c>
      <c r="B18" s="24">
        <f>B17*Assumptions!$B$39</f>
        <v>20.037499999999987</v>
      </c>
      <c r="C18" s="24">
        <f>C17*Assumptions!$B$39</f>
        <v>21.992499999999993</v>
      </c>
      <c r="D18" s="24">
        <f>D17*Assumptions!$B$39</f>
        <v>24.103899999999996</v>
      </c>
      <c r="E18" s="24">
        <f>E17*Assumptions!$B$60</f>
        <v>29.370925000000021</v>
      </c>
      <c r="F18" s="24">
        <f>F17*Assumptions!$B$60</f>
        <v>32.072599000000018</v>
      </c>
      <c r="G18" s="24">
        <f>G17*Assumptions!$B$60</f>
        <v>34.625680930000023</v>
      </c>
      <c r="H18" s="24">
        <f>H17*Assumptions!$B$60</f>
        <v>37.162350190450049</v>
      </c>
      <c r="I18" s="24">
        <f>I17*Assumptions!$B$60</f>
        <v>39.656091201877025</v>
      </c>
    </row>
    <row r="19" spans="1:9" x14ac:dyDescent="0.2">
      <c r="A19" s="5" t="s">
        <v>184</v>
      </c>
      <c r="B19" s="22">
        <f t="shared" ref="B19:I19" si="7">B17-B18</f>
        <v>60.112499999999962</v>
      </c>
      <c r="C19" s="22">
        <f t="shared" si="7"/>
        <v>65.977499999999978</v>
      </c>
      <c r="D19" s="22">
        <f t="shared" si="7"/>
        <v>72.311699999999988</v>
      </c>
      <c r="E19" s="22">
        <f t="shared" si="7"/>
        <v>88.112775000000056</v>
      </c>
      <c r="F19" s="22">
        <f t="shared" si="7"/>
        <v>96.217797000000047</v>
      </c>
      <c r="G19" s="22">
        <f t="shared" si="7"/>
        <v>103.87704279000008</v>
      </c>
      <c r="H19" s="22">
        <f t="shared" si="7"/>
        <v>111.48705057135015</v>
      </c>
      <c r="I19" s="22">
        <f t="shared" si="7"/>
        <v>118.96827360563108</v>
      </c>
    </row>
    <row r="20" spans="1:9" x14ac:dyDescent="0.2">
      <c r="A20" s="3" t="s">
        <v>185</v>
      </c>
      <c r="B20" s="24">
        <f>B19*Assumptions!$B$47</f>
        <v>12.022499999999994</v>
      </c>
      <c r="C20" s="24">
        <f>C19*Assumptions!$B$47</f>
        <v>13.195499999999996</v>
      </c>
      <c r="D20" s="24">
        <f>D19*Assumptions!$B$47</f>
        <v>14.462339999999998</v>
      </c>
      <c r="E20" s="24">
        <f>E19*Assumptions!$B$68</f>
        <v>22.028193750000014</v>
      </c>
      <c r="F20" s="24">
        <f>F19*Assumptions!$B$68</f>
        <v>24.054449250000012</v>
      </c>
      <c r="G20" s="24">
        <f>G19*Assumptions!$B$68</f>
        <v>25.969260697500019</v>
      </c>
      <c r="H20" s="24">
        <f>H19*Assumptions!$B$68</f>
        <v>27.871762642837538</v>
      </c>
      <c r="I20" s="24">
        <f>I19*Assumptions!$B$68</f>
        <v>29.742068401407771</v>
      </c>
    </row>
    <row r="21" spans="1:9" x14ac:dyDescent="0.2">
      <c r="A21" s="3" t="s">
        <v>116</v>
      </c>
      <c r="B21" s="25">
        <f>Assumptions!$B$48</f>
        <v>50</v>
      </c>
      <c r="C21" s="25">
        <f>Assumptions!$B$48</f>
        <v>50</v>
      </c>
      <c r="D21" s="25">
        <f>Assumptions!$B$48</f>
        <v>50</v>
      </c>
      <c r="E21" s="25">
        <f>Assumptions!$B$70</f>
        <v>50</v>
      </c>
      <c r="F21" s="25">
        <f>Assumptions!$B$70</f>
        <v>50</v>
      </c>
      <c r="G21" s="25">
        <f>Assumptions!$B$70</f>
        <v>50</v>
      </c>
      <c r="H21" s="25">
        <f>Assumptions!$B$70</f>
        <v>50</v>
      </c>
      <c r="I21" s="25">
        <f>Assumptions!$B$70</f>
        <v>50</v>
      </c>
    </row>
    <row r="22" spans="1:9" x14ac:dyDescent="0.2">
      <c r="A22" s="3" t="s">
        <v>186</v>
      </c>
      <c r="B22" s="26">
        <f t="shared" ref="B22:I22" si="8">B19/B21</f>
        <v>1.2022499999999992</v>
      </c>
      <c r="C22" s="26">
        <f t="shared" si="8"/>
        <v>1.3195499999999996</v>
      </c>
      <c r="D22" s="26">
        <f t="shared" si="8"/>
        <v>1.4462339999999998</v>
      </c>
      <c r="E22" s="26">
        <f t="shared" si="8"/>
        <v>1.7622555000000011</v>
      </c>
      <c r="F22" s="26">
        <f t="shared" si="8"/>
        <v>1.924355940000001</v>
      </c>
      <c r="G22" s="26">
        <f t="shared" si="8"/>
        <v>2.0775408558000015</v>
      </c>
      <c r="H22" s="26">
        <f t="shared" si="8"/>
        <v>2.2297410114270031</v>
      </c>
      <c r="I22" s="26">
        <f t="shared" si="8"/>
        <v>2.3793654721126218</v>
      </c>
    </row>
    <row r="24" spans="1:9" ht="18" customHeight="1" x14ac:dyDescent="0.2">
      <c r="A24" s="47" t="s">
        <v>187</v>
      </c>
      <c r="B24" s="48"/>
      <c r="C24" s="48"/>
      <c r="D24" s="48"/>
      <c r="E24" s="48"/>
      <c r="F24" s="48"/>
      <c r="G24" s="48"/>
      <c r="H24" s="48"/>
      <c r="I24" s="48"/>
    </row>
    <row r="25" spans="1:9" x14ac:dyDescent="0.2">
      <c r="A25" s="3" t="s">
        <v>188</v>
      </c>
      <c r="B25" s="24">
        <f t="shared" ref="B25:I25" si="9">B61</f>
        <v>126.76808219178079</v>
      </c>
      <c r="C25" s="24">
        <f t="shared" si="9"/>
        <v>167.35432876712321</v>
      </c>
      <c r="D25" s="24">
        <f t="shared" si="9"/>
        <v>212.03227506849305</v>
      </c>
      <c r="E25" s="24">
        <f t="shared" si="9"/>
        <v>275.2275556938356</v>
      </c>
      <c r="F25" s="24">
        <f t="shared" si="9"/>
        <v>332.88506059934241</v>
      </c>
      <c r="G25" s="24">
        <f t="shared" si="9"/>
        <v>396.3553692237964</v>
      </c>
      <c r="H25" s="24">
        <f t="shared" si="9"/>
        <v>465.17998823164328</v>
      </c>
      <c r="I25" s="24">
        <f t="shared" si="9"/>
        <v>539.3542915253604</v>
      </c>
    </row>
    <row r="26" spans="1:9" x14ac:dyDescent="0.2">
      <c r="A26" s="3" t="s">
        <v>189</v>
      </c>
      <c r="B26" s="24">
        <f>B6/365*Assumptions!$B$40</f>
        <v>128.08219178082192</v>
      </c>
      <c r="C26" s="24">
        <f>C6/365*Assumptions!$B$40</f>
        <v>138.32876712328769</v>
      </c>
      <c r="D26" s="24">
        <f>D6/365*Assumptions!$B$40</f>
        <v>149.39506849315072</v>
      </c>
      <c r="E26" s="24">
        <f>E6/365*Assumptions!$B$61</f>
        <v>153.9584087671233</v>
      </c>
      <c r="F26" s="24">
        <f>F6/365*Assumptions!$B$61</f>
        <v>166.2750814684932</v>
      </c>
      <c r="G26" s="24">
        <f>G6/365*Assumptions!$B$61</f>
        <v>177.91433717128774</v>
      </c>
      <c r="H26" s="24">
        <f>H6/365*Assumptions!$B$61</f>
        <v>189.47876908742143</v>
      </c>
      <c r="I26" s="24">
        <f>I6/365*Assumptions!$B$61</f>
        <v>200.84749523266674</v>
      </c>
    </row>
    <row r="27" spans="1:9" x14ac:dyDescent="0.2">
      <c r="A27" s="3" t="s">
        <v>190</v>
      </c>
      <c r="B27" s="24">
        <f>B8/365*Assumptions!$B$41</f>
        <v>82.438356164383563</v>
      </c>
      <c r="C27" s="24">
        <f>C8/365*Assumptions!$B$41</f>
        <v>89.033424657534269</v>
      </c>
      <c r="D27" s="24">
        <f>D8/365*Assumptions!$B$41</f>
        <v>96.156098630137009</v>
      </c>
      <c r="E27" s="24">
        <f>E8/365*Assumptions!$B$62</f>
        <v>100.45786172054795</v>
      </c>
      <c r="F27" s="24">
        <f>F8/365*Assumptions!$B$62</f>
        <v>108.49449065819181</v>
      </c>
      <c r="G27" s="24">
        <f>G8/365*Assumptions!$B$62</f>
        <v>116.08910500426524</v>
      </c>
      <c r="H27" s="24">
        <f>H8/365*Assumptions!$B$62</f>
        <v>123.63489682954246</v>
      </c>
      <c r="I27" s="24">
        <f>I8/365*Assumptions!$B$62</f>
        <v>131.05299063931503</v>
      </c>
    </row>
    <row r="28" spans="1:9" x14ac:dyDescent="0.2">
      <c r="A28" s="3" t="s">
        <v>191</v>
      </c>
      <c r="B28" s="24">
        <f>B6*Assumptions!$B$43</f>
        <v>25.5</v>
      </c>
      <c r="C28" s="24">
        <f>C6*Assumptions!$B$43</f>
        <v>27.540000000000003</v>
      </c>
      <c r="D28" s="24">
        <f>D6*Assumptions!$B$43</f>
        <v>29.743200000000005</v>
      </c>
      <c r="E28" s="24">
        <f>E6*Assumptions!$B$64</f>
        <v>32.420088000000007</v>
      </c>
      <c r="F28" s="24">
        <f>F6*Assumptions!$B$64</f>
        <v>35.013695040000009</v>
      </c>
      <c r="G28" s="24">
        <f>G6*Assumptions!$B$64</f>
        <v>37.464653692800013</v>
      </c>
      <c r="H28" s="24">
        <f>H6*Assumptions!$B$64</f>
        <v>39.899856182832011</v>
      </c>
      <c r="I28" s="24">
        <f>I6*Assumptions!$B$64</f>
        <v>42.293847553801932</v>
      </c>
    </row>
    <row r="29" spans="1:9" x14ac:dyDescent="0.2">
      <c r="A29" s="5" t="s">
        <v>192</v>
      </c>
      <c r="B29" s="22">
        <f t="shared" ref="B29:I29" si="10">SUM(B25:B28)</f>
        <v>362.78863013698628</v>
      </c>
      <c r="C29" s="22">
        <f t="shared" si="10"/>
        <v>422.25652054794517</v>
      </c>
      <c r="D29" s="22">
        <f t="shared" si="10"/>
        <v>487.32664219178076</v>
      </c>
      <c r="E29" s="22">
        <f t="shared" si="10"/>
        <v>562.06391418150679</v>
      </c>
      <c r="F29" s="22">
        <f t="shared" si="10"/>
        <v>642.66832776602746</v>
      </c>
      <c r="G29" s="22">
        <f t="shared" si="10"/>
        <v>727.82346509214926</v>
      </c>
      <c r="H29" s="22">
        <f t="shared" si="10"/>
        <v>818.19351033143914</v>
      </c>
      <c r="I29" s="22">
        <f t="shared" si="10"/>
        <v>913.54862495114401</v>
      </c>
    </row>
    <row r="30" spans="1:9" x14ac:dyDescent="0.2">
      <c r="A30" s="3" t="s">
        <v>193</v>
      </c>
      <c r="B30" s="24">
        <f>Assumptions!$B$20+B54-B14</f>
        <v>414.25</v>
      </c>
      <c r="C30" s="24">
        <f t="shared" ref="C30:I30" si="11">B30+C54-C14</f>
        <v>418.84</v>
      </c>
      <c r="D30" s="24">
        <f t="shared" si="11"/>
        <v>423.79719999999998</v>
      </c>
      <c r="E30" s="24">
        <f t="shared" si="11"/>
        <v>429.20054799999997</v>
      </c>
      <c r="F30" s="24">
        <f t="shared" si="11"/>
        <v>435.03616383999997</v>
      </c>
      <c r="G30" s="24">
        <f t="shared" si="11"/>
        <v>441.2802727888</v>
      </c>
      <c r="H30" s="24">
        <f t="shared" si="11"/>
        <v>447.93024881927204</v>
      </c>
      <c r="I30" s="24">
        <f t="shared" si="11"/>
        <v>454.97922341157243</v>
      </c>
    </row>
    <row r="31" spans="1:9" x14ac:dyDescent="0.2">
      <c r="A31" s="5" t="s">
        <v>194</v>
      </c>
      <c r="B31" s="22">
        <f t="shared" ref="B31:I31" si="12">B29+B30</f>
        <v>777.03863013698628</v>
      </c>
      <c r="C31" s="22">
        <f t="shared" si="12"/>
        <v>841.09652054794515</v>
      </c>
      <c r="D31" s="22">
        <f t="shared" si="12"/>
        <v>911.1238421917808</v>
      </c>
      <c r="E31" s="22">
        <f t="shared" si="12"/>
        <v>991.26446218150681</v>
      </c>
      <c r="F31" s="22">
        <f t="shared" si="12"/>
        <v>1077.7044916060274</v>
      </c>
      <c r="G31" s="22">
        <f t="shared" si="12"/>
        <v>1169.1037378809492</v>
      </c>
      <c r="H31" s="22">
        <f t="shared" si="12"/>
        <v>1266.1237591507111</v>
      </c>
      <c r="I31" s="22">
        <f t="shared" si="12"/>
        <v>1368.5278483627164</v>
      </c>
    </row>
    <row r="32" spans="1:9" x14ac:dyDescent="0.2">
      <c r="A32" s="3" t="s">
        <v>195</v>
      </c>
      <c r="B32" s="24">
        <f>B8/365*Assumptions!$B$42</f>
        <v>68.69863013698631</v>
      </c>
      <c r="C32" s="24">
        <f>C8/365*Assumptions!$B$42</f>
        <v>74.194520547945217</v>
      </c>
      <c r="D32" s="24">
        <f>D8/365*Assumptions!$B$42</f>
        <v>80.130082191780843</v>
      </c>
      <c r="E32" s="24">
        <f>E8/365*Assumptions!$B$63</f>
        <v>86.601604931506856</v>
      </c>
      <c r="F32" s="24">
        <f>F8/365*Assumptions!$B$63</f>
        <v>93.529733326027426</v>
      </c>
      <c r="G32" s="24">
        <f>G8/365*Assumptions!$B$63</f>
        <v>100.07681465884934</v>
      </c>
      <c r="H32" s="24">
        <f>H8/365*Assumptions!$B$63</f>
        <v>106.58180761167453</v>
      </c>
      <c r="I32" s="24">
        <f>I8/365*Assumptions!$B$63</f>
        <v>112.97671606837503</v>
      </c>
    </row>
    <row r="33" spans="1:9" x14ac:dyDescent="0.2">
      <c r="A33" s="3" t="s">
        <v>196</v>
      </c>
      <c r="B33" s="24">
        <f>B6*Assumptions!$B$44</f>
        <v>51</v>
      </c>
      <c r="C33" s="24">
        <f>C6*Assumptions!$B$44</f>
        <v>55.080000000000005</v>
      </c>
      <c r="D33" s="24">
        <f>D6*Assumptions!$B$44</f>
        <v>59.48640000000001</v>
      </c>
      <c r="E33" s="24">
        <f>E6*Assumptions!$B$65</f>
        <v>64.840176000000014</v>
      </c>
      <c r="F33" s="24">
        <f>F6*Assumptions!$B$65</f>
        <v>70.027390080000018</v>
      </c>
      <c r="G33" s="24">
        <f>G6*Assumptions!$B$65</f>
        <v>74.929307385600026</v>
      </c>
      <c r="H33" s="24">
        <f>H6*Assumptions!$B$65</f>
        <v>79.799712365664021</v>
      </c>
      <c r="I33" s="24">
        <f>I6*Assumptions!$B$65</f>
        <v>84.587695107603864</v>
      </c>
    </row>
    <row r="34" spans="1:9" x14ac:dyDescent="0.2">
      <c r="A34" s="3" t="s">
        <v>197</v>
      </c>
      <c r="B34" s="24">
        <f>Assumptions!$B$23</f>
        <v>20</v>
      </c>
      <c r="C34" s="24">
        <f>Assumptions!$B$23</f>
        <v>20</v>
      </c>
      <c r="D34" s="24">
        <f>Assumptions!$B$23</f>
        <v>20</v>
      </c>
      <c r="E34" s="24">
        <f>Assumptions!$B$23</f>
        <v>20</v>
      </c>
      <c r="F34" s="24">
        <f>Assumptions!$B$23</f>
        <v>20</v>
      </c>
      <c r="G34" s="24">
        <f>Assumptions!$B$23</f>
        <v>20</v>
      </c>
      <c r="H34" s="24">
        <f>Assumptions!$B$23</f>
        <v>20</v>
      </c>
      <c r="I34" s="24">
        <f>Assumptions!$B$23</f>
        <v>20</v>
      </c>
    </row>
    <row r="35" spans="1:9" x14ac:dyDescent="0.2">
      <c r="A35" s="3" t="s">
        <v>198</v>
      </c>
      <c r="B35" s="24">
        <f>Assumptions!$B$24</f>
        <v>300</v>
      </c>
      <c r="C35" s="24">
        <f>B35</f>
        <v>300</v>
      </c>
      <c r="D35" s="24">
        <f>C35</f>
        <v>300</v>
      </c>
      <c r="E35" s="24">
        <f>D35+Assumptions!$B$69</f>
        <v>300</v>
      </c>
      <c r="F35" s="24">
        <f>E35+Assumptions!$B$69</f>
        <v>300</v>
      </c>
      <c r="G35" s="24">
        <f>F35+Assumptions!$B$69</f>
        <v>300</v>
      </c>
      <c r="H35" s="24">
        <f>G35+Assumptions!$B$69</f>
        <v>300</v>
      </c>
      <c r="I35" s="24">
        <f>H35+Assumptions!$B$69</f>
        <v>300</v>
      </c>
    </row>
    <row r="36" spans="1:9" x14ac:dyDescent="0.2">
      <c r="A36" s="3" t="s">
        <v>199</v>
      </c>
      <c r="B36" s="24">
        <f>B6*Assumptions!$B$45</f>
        <v>21.25</v>
      </c>
      <c r="C36" s="24">
        <f>C6*Assumptions!$B$45</f>
        <v>22.950000000000003</v>
      </c>
      <c r="D36" s="24">
        <f>D6*Assumptions!$B$45</f>
        <v>24.786000000000005</v>
      </c>
      <c r="E36" s="24">
        <f>E6*Assumptions!$B$66</f>
        <v>27.016740000000006</v>
      </c>
      <c r="F36" s="24">
        <f>F6*Assumptions!$B$66</f>
        <v>29.17807920000001</v>
      </c>
      <c r="G36" s="24">
        <f>G6*Assumptions!$B$66</f>
        <v>31.220544744000012</v>
      </c>
      <c r="H36" s="24">
        <f>H6*Assumptions!$B$66</f>
        <v>33.249880152360014</v>
      </c>
      <c r="I36" s="24">
        <f>I6*Assumptions!$B$66</f>
        <v>35.244872961501613</v>
      </c>
    </row>
    <row r="37" spans="1:9" x14ac:dyDescent="0.2">
      <c r="A37" s="5" t="s">
        <v>200</v>
      </c>
      <c r="B37" s="22">
        <f t="shared" ref="B37:I37" si="13">SUM(B32:B36)</f>
        <v>460.94863013698631</v>
      </c>
      <c r="C37" s="22">
        <f t="shared" si="13"/>
        <v>472.22452054794525</v>
      </c>
      <c r="D37" s="22">
        <f t="shared" si="13"/>
        <v>484.40248219178085</v>
      </c>
      <c r="E37" s="22">
        <f t="shared" si="13"/>
        <v>498.45852093150688</v>
      </c>
      <c r="F37" s="22">
        <f t="shared" si="13"/>
        <v>512.73520260602743</v>
      </c>
      <c r="G37" s="22">
        <f t="shared" si="13"/>
        <v>526.22666678844939</v>
      </c>
      <c r="H37" s="22">
        <f t="shared" si="13"/>
        <v>539.63140012969859</v>
      </c>
      <c r="I37" s="22">
        <f t="shared" si="13"/>
        <v>552.80928413748052</v>
      </c>
    </row>
    <row r="38" spans="1:9" x14ac:dyDescent="0.2">
      <c r="A38" s="3" t="s">
        <v>201</v>
      </c>
      <c r="B38" s="24">
        <f>Assumptions!$B$21</f>
        <v>250</v>
      </c>
      <c r="C38" s="24">
        <f>Assumptions!$B$21</f>
        <v>250</v>
      </c>
      <c r="D38" s="24">
        <f>Assumptions!$B$21</f>
        <v>250</v>
      </c>
      <c r="E38" s="24">
        <f>Assumptions!$B$21</f>
        <v>250</v>
      </c>
      <c r="F38" s="24">
        <f>Assumptions!$B$21</f>
        <v>250</v>
      </c>
      <c r="G38" s="24">
        <f>Assumptions!$B$21</f>
        <v>250</v>
      </c>
      <c r="H38" s="24">
        <f>Assumptions!$B$21</f>
        <v>250</v>
      </c>
      <c r="I38" s="24">
        <f>Assumptions!$B$21</f>
        <v>250</v>
      </c>
    </row>
    <row r="39" spans="1:9" x14ac:dyDescent="0.2">
      <c r="A39" s="3" t="s">
        <v>202</v>
      </c>
      <c r="B39" s="24">
        <f>Assumptions!$B$22+B19-B20</f>
        <v>66.089999999999961</v>
      </c>
      <c r="C39" s="24">
        <f t="shared" ref="C39:I39" si="14">B39+C19-C20</f>
        <v>118.87199999999994</v>
      </c>
      <c r="D39" s="24">
        <f t="shared" si="14"/>
        <v>176.72135999999995</v>
      </c>
      <c r="E39" s="24">
        <f t="shared" si="14"/>
        <v>242.80594124999999</v>
      </c>
      <c r="F39" s="24">
        <f t="shared" si="14"/>
        <v>314.96928900000006</v>
      </c>
      <c r="G39" s="24">
        <f t="shared" si="14"/>
        <v>392.8770710925001</v>
      </c>
      <c r="H39" s="24">
        <f t="shared" si="14"/>
        <v>476.4923590210127</v>
      </c>
      <c r="I39" s="24">
        <f t="shared" si="14"/>
        <v>565.71856422523604</v>
      </c>
    </row>
    <row r="40" spans="1:9" x14ac:dyDescent="0.2">
      <c r="A40" s="5" t="s">
        <v>203</v>
      </c>
      <c r="B40" s="22">
        <f t="shared" ref="B40:I40" si="15">B38+B39</f>
        <v>316.08999999999997</v>
      </c>
      <c r="C40" s="22">
        <f t="shared" si="15"/>
        <v>368.87199999999996</v>
      </c>
      <c r="D40" s="22">
        <f t="shared" si="15"/>
        <v>426.72135999999995</v>
      </c>
      <c r="E40" s="22">
        <f t="shared" si="15"/>
        <v>492.80594124999999</v>
      </c>
      <c r="F40" s="22">
        <f t="shared" si="15"/>
        <v>564.96928900000012</v>
      </c>
      <c r="G40" s="22">
        <f t="shared" si="15"/>
        <v>642.87707109250005</v>
      </c>
      <c r="H40" s="22">
        <f t="shared" si="15"/>
        <v>726.4923590210127</v>
      </c>
      <c r="I40" s="22">
        <f t="shared" si="15"/>
        <v>815.71856422523604</v>
      </c>
    </row>
    <row r="41" spans="1:9" x14ac:dyDescent="0.2">
      <c r="A41" s="5" t="s">
        <v>204</v>
      </c>
      <c r="B41" s="22">
        <f t="shared" ref="B41:I41" si="16">B37+B40</f>
        <v>777.03863013698628</v>
      </c>
      <c r="C41" s="22">
        <f t="shared" si="16"/>
        <v>841.09652054794515</v>
      </c>
      <c r="D41" s="22">
        <f t="shared" si="16"/>
        <v>911.1238421917808</v>
      </c>
      <c r="E41" s="22">
        <f t="shared" si="16"/>
        <v>991.26446218150681</v>
      </c>
      <c r="F41" s="22">
        <f t="shared" si="16"/>
        <v>1077.7044916060277</v>
      </c>
      <c r="G41" s="22">
        <f t="shared" si="16"/>
        <v>1169.1037378809494</v>
      </c>
      <c r="H41" s="22">
        <f t="shared" si="16"/>
        <v>1266.1237591507113</v>
      </c>
      <c r="I41" s="22">
        <f t="shared" si="16"/>
        <v>1368.5278483627167</v>
      </c>
    </row>
    <row r="42" spans="1:9" x14ac:dyDescent="0.2">
      <c r="A42" s="5" t="s">
        <v>205</v>
      </c>
      <c r="B42" s="27">
        <f t="shared" ref="B42:I42" si="17">B31-B41</f>
        <v>0</v>
      </c>
      <c r="C42" s="27">
        <f t="shared" si="17"/>
        <v>0</v>
      </c>
      <c r="D42" s="27">
        <f t="shared" si="17"/>
        <v>0</v>
      </c>
      <c r="E42" s="27">
        <f t="shared" si="17"/>
        <v>0</v>
      </c>
      <c r="F42" s="27">
        <f t="shared" si="17"/>
        <v>0</v>
      </c>
      <c r="G42" s="27">
        <f t="shared" si="17"/>
        <v>0</v>
      </c>
      <c r="H42" s="27">
        <f t="shared" si="17"/>
        <v>0</v>
      </c>
      <c r="I42" s="27">
        <f t="shared" si="17"/>
        <v>0</v>
      </c>
    </row>
    <row r="44" spans="1:9" ht="18" customHeight="1" x14ac:dyDescent="0.2">
      <c r="A44" s="47" t="s">
        <v>206</v>
      </c>
      <c r="B44" s="48"/>
      <c r="C44" s="48"/>
      <c r="D44" s="48"/>
      <c r="E44" s="48"/>
      <c r="F44" s="48"/>
      <c r="G44" s="48"/>
      <c r="H44" s="48"/>
      <c r="I44" s="48"/>
    </row>
    <row r="45" spans="1:9" x14ac:dyDescent="0.2">
      <c r="A45" s="3" t="s">
        <v>184</v>
      </c>
      <c r="B45" s="24">
        <f t="shared" ref="B45:I45" si="18">B19</f>
        <v>60.112499999999962</v>
      </c>
      <c r="C45" s="24">
        <f t="shared" si="18"/>
        <v>65.977499999999978</v>
      </c>
      <c r="D45" s="24">
        <f t="shared" si="18"/>
        <v>72.311699999999988</v>
      </c>
      <c r="E45" s="24">
        <f t="shared" si="18"/>
        <v>88.112775000000056</v>
      </c>
      <c r="F45" s="24">
        <f t="shared" si="18"/>
        <v>96.217797000000047</v>
      </c>
      <c r="G45" s="24">
        <f t="shared" si="18"/>
        <v>103.87704279000008</v>
      </c>
      <c r="H45" s="24">
        <f t="shared" si="18"/>
        <v>111.48705057135015</v>
      </c>
      <c r="I45" s="24">
        <f t="shared" si="18"/>
        <v>118.96827360563108</v>
      </c>
    </row>
    <row r="46" spans="1:9" x14ac:dyDescent="0.2">
      <c r="A46" s="3" t="s">
        <v>207</v>
      </c>
      <c r="B46" s="24">
        <f t="shared" ref="B46:I46" si="19">B14</f>
        <v>38.25</v>
      </c>
      <c r="C46" s="24">
        <f t="shared" si="19"/>
        <v>41.31</v>
      </c>
      <c r="D46" s="24">
        <f t="shared" si="19"/>
        <v>44.614800000000002</v>
      </c>
      <c r="E46" s="24">
        <f t="shared" si="19"/>
        <v>48.630132000000003</v>
      </c>
      <c r="F46" s="24">
        <f t="shared" si="19"/>
        <v>52.52054256000001</v>
      </c>
      <c r="G46" s="24">
        <f t="shared" si="19"/>
        <v>56.19698053920002</v>
      </c>
      <c r="H46" s="24">
        <f t="shared" si="19"/>
        <v>59.849784274248016</v>
      </c>
      <c r="I46" s="24">
        <f t="shared" si="19"/>
        <v>63.440771330702901</v>
      </c>
    </row>
    <row r="47" spans="1:9" x14ac:dyDescent="0.2">
      <c r="A47" s="3" t="s">
        <v>208</v>
      </c>
      <c r="B47" s="24">
        <f>-(B26-Assumptions!$B$26)</f>
        <v>-9.0821917808219155</v>
      </c>
      <c r="C47" s="24">
        <f t="shared" ref="C47:I49" si="20">-(C26-B26)</f>
        <v>-10.246575342465775</v>
      </c>
      <c r="D47" s="24">
        <f t="shared" si="20"/>
        <v>-11.066301369863027</v>
      </c>
      <c r="E47" s="24">
        <f t="shared" si="20"/>
        <v>-4.5633402739725852</v>
      </c>
      <c r="F47" s="24">
        <f t="shared" si="20"/>
        <v>-12.316672701369896</v>
      </c>
      <c r="G47" s="24">
        <f t="shared" si="20"/>
        <v>-11.639255702794543</v>
      </c>
      <c r="H47" s="24">
        <f t="shared" si="20"/>
        <v>-11.564431916133685</v>
      </c>
      <c r="I47" s="24">
        <f t="shared" si="20"/>
        <v>-11.368726145245319</v>
      </c>
    </row>
    <row r="48" spans="1:9" x14ac:dyDescent="0.2">
      <c r="A48" s="3" t="s">
        <v>209</v>
      </c>
      <c r="B48" s="24">
        <f>-(B27-Assumptions!$B$27)</f>
        <v>-6.4383561643835634</v>
      </c>
      <c r="C48" s="24">
        <f t="shared" si="20"/>
        <v>-6.5950684931507055</v>
      </c>
      <c r="D48" s="24">
        <f t="shared" si="20"/>
        <v>-7.1226739726027404</v>
      </c>
      <c r="E48" s="24">
        <f t="shared" si="20"/>
        <v>-4.3017630904109438</v>
      </c>
      <c r="F48" s="24">
        <f t="shared" si="20"/>
        <v>-8.0366289376438544</v>
      </c>
      <c r="G48" s="24">
        <f t="shared" si="20"/>
        <v>-7.5946143460734277</v>
      </c>
      <c r="H48" s="24">
        <f t="shared" si="20"/>
        <v>-7.5457918252772203</v>
      </c>
      <c r="I48" s="24">
        <f t="shared" si="20"/>
        <v>-7.4180938097725715</v>
      </c>
    </row>
    <row r="49" spans="1:9" x14ac:dyDescent="0.2">
      <c r="A49" s="3" t="s">
        <v>210</v>
      </c>
      <c r="B49" s="24">
        <f>-(B28-Assumptions!$B$28)</f>
        <v>-1.5</v>
      </c>
      <c r="C49" s="24">
        <f t="shared" si="20"/>
        <v>-2.0400000000000027</v>
      </c>
      <c r="D49" s="24">
        <f t="shared" si="20"/>
        <v>-2.2032000000000025</v>
      </c>
      <c r="E49" s="24">
        <f t="shared" si="20"/>
        <v>-2.6768880000000017</v>
      </c>
      <c r="F49" s="24">
        <f t="shared" si="20"/>
        <v>-2.593607040000002</v>
      </c>
      <c r="G49" s="24">
        <f t="shared" si="20"/>
        <v>-2.4509586528000042</v>
      </c>
      <c r="H49" s="24">
        <f t="shared" si="20"/>
        <v>-2.4352024900319975</v>
      </c>
      <c r="I49" s="24">
        <f t="shared" si="20"/>
        <v>-2.3939913709699212</v>
      </c>
    </row>
    <row r="50" spans="1:9" x14ac:dyDescent="0.2">
      <c r="A50" s="3" t="s">
        <v>211</v>
      </c>
      <c r="B50" s="24">
        <f>(B32-Assumptions!$B$29)</f>
        <v>4.6986301369863099</v>
      </c>
      <c r="C50" s="24">
        <f t="shared" ref="C50:I51" si="21">(C32-B32)</f>
        <v>5.4958904109589071</v>
      </c>
      <c r="D50" s="24">
        <f t="shared" si="21"/>
        <v>5.9355616438356265</v>
      </c>
      <c r="E50" s="24">
        <f t="shared" si="21"/>
        <v>6.4715227397260122</v>
      </c>
      <c r="F50" s="24">
        <f t="shared" si="21"/>
        <v>6.9281283945205701</v>
      </c>
      <c r="G50" s="24">
        <f t="shared" si="21"/>
        <v>6.547081332821918</v>
      </c>
      <c r="H50" s="24">
        <f t="shared" si="21"/>
        <v>6.5049929528251909</v>
      </c>
      <c r="I50" s="24">
        <f t="shared" si="21"/>
        <v>6.3949084567004917</v>
      </c>
    </row>
    <row r="51" spans="1:9" x14ac:dyDescent="0.2">
      <c r="A51" s="3" t="s">
        <v>212</v>
      </c>
      <c r="B51" s="24">
        <f>(B33-Assumptions!$B$30)</f>
        <v>4</v>
      </c>
      <c r="C51" s="24">
        <f t="shared" si="21"/>
        <v>4.0800000000000054</v>
      </c>
      <c r="D51" s="24">
        <f t="shared" si="21"/>
        <v>4.406400000000005</v>
      </c>
      <c r="E51" s="24">
        <f t="shared" si="21"/>
        <v>5.3537760000000034</v>
      </c>
      <c r="F51" s="24">
        <f t="shared" si="21"/>
        <v>5.1872140800000039</v>
      </c>
      <c r="G51" s="24">
        <f t="shared" si="21"/>
        <v>4.9019173056000085</v>
      </c>
      <c r="H51" s="24">
        <f t="shared" si="21"/>
        <v>4.870404980063995</v>
      </c>
      <c r="I51" s="24">
        <f t="shared" si="21"/>
        <v>4.7879827419398424</v>
      </c>
    </row>
    <row r="52" spans="1:9" x14ac:dyDescent="0.2">
      <c r="A52" s="3" t="s">
        <v>213</v>
      </c>
      <c r="B52" s="24">
        <f>(B36-Assumptions!$B$31)</f>
        <v>1.25</v>
      </c>
      <c r="C52" s="24">
        <f t="shared" ref="C52:I52" si="22">(C36-B36)</f>
        <v>1.7000000000000028</v>
      </c>
      <c r="D52" s="24">
        <f t="shared" si="22"/>
        <v>1.8360000000000021</v>
      </c>
      <c r="E52" s="24">
        <f t="shared" si="22"/>
        <v>2.2307400000000008</v>
      </c>
      <c r="F52" s="24">
        <f t="shared" si="22"/>
        <v>2.161339200000004</v>
      </c>
      <c r="G52" s="24">
        <f t="shared" si="22"/>
        <v>2.0424655440000024</v>
      </c>
      <c r="H52" s="24">
        <f t="shared" si="22"/>
        <v>2.0293354083600015</v>
      </c>
      <c r="I52" s="24">
        <f t="shared" si="22"/>
        <v>1.9949928091415998</v>
      </c>
    </row>
    <row r="53" spans="1:9" x14ac:dyDescent="0.2">
      <c r="A53" s="5" t="s">
        <v>214</v>
      </c>
      <c r="B53" s="22">
        <f t="shared" ref="B53:I53" si="23">SUM(B45:B52)</f>
        <v>91.290582191780786</v>
      </c>
      <c r="C53" s="22">
        <f t="shared" si="23"/>
        <v>99.681746575342416</v>
      </c>
      <c r="D53" s="22">
        <f t="shared" si="23"/>
        <v>108.71228630136986</v>
      </c>
      <c r="E53" s="22">
        <f t="shared" si="23"/>
        <v>139.25695437534256</v>
      </c>
      <c r="F53" s="22">
        <f t="shared" si="23"/>
        <v>140.06811255550687</v>
      </c>
      <c r="G53" s="22">
        <f t="shared" si="23"/>
        <v>151.88065880995404</v>
      </c>
      <c r="H53" s="22">
        <f t="shared" si="23"/>
        <v>163.19614195540447</v>
      </c>
      <c r="I53" s="22">
        <f t="shared" si="23"/>
        <v>174.40611761812812</v>
      </c>
    </row>
    <row r="54" spans="1:9" x14ac:dyDescent="0.2">
      <c r="A54" s="3" t="s">
        <v>215</v>
      </c>
      <c r="B54" s="24">
        <f>B6*Assumptions!$B$38</f>
        <v>42.5</v>
      </c>
      <c r="C54" s="24">
        <f>C6*Assumptions!$B$38</f>
        <v>45.900000000000006</v>
      </c>
      <c r="D54" s="24">
        <f>D6*Assumptions!$B$38</f>
        <v>49.57200000000001</v>
      </c>
      <c r="E54" s="24">
        <f>E6*Assumptions!$B$56</f>
        <v>54.033480000000012</v>
      </c>
      <c r="F54" s="24">
        <f>F6*Assumptions!$B$56</f>
        <v>58.35615840000002</v>
      </c>
      <c r="G54" s="24">
        <f>G6*Assumptions!$B$56</f>
        <v>62.441089488000024</v>
      </c>
      <c r="H54" s="24">
        <f>H6*Assumptions!$B$56</f>
        <v>66.499760304720027</v>
      </c>
      <c r="I54" s="24">
        <f>I6*Assumptions!$B$56</f>
        <v>70.489745923003227</v>
      </c>
    </row>
    <row r="55" spans="1:9" x14ac:dyDescent="0.2">
      <c r="A55" s="5" t="s">
        <v>216</v>
      </c>
      <c r="B55" s="22">
        <f t="shared" ref="B55:I55" si="24">-B54</f>
        <v>-42.5</v>
      </c>
      <c r="C55" s="22">
        <f t="shared" si="24"/>
        <v>-45.900000000000006</v>
      </c>
      <c r="D55" s="22">
        <f t="shared" si="24"/>
        <v>-49.57200000000001</v>
      </c>
      <c r="E55" s="22">
        <f t="shared" si="24"/>
        <v>-54.033480000000012</v>
      </c>
      <c r="F55" s="22">
        <f t="shared" si="24"/>
        <v>-58.35615840000002</v>
      </c>
      <c r="G55" s="22">
        <f t="shared" si="24"/>
        <v>-62.441089488000024</v>
      </c>
      <c r="H55" s="22">
        <f t="shared" si="24"/>
        <v>-66.499760304720027</v>
      </c>
      <c r="I55" s="22">
        <f t="shared" si="24"/>
        <v>-70.489745923003227</v>
      </c>
    </row>
    <row r="56" spans="1:9" x14ac:dyDescent="0.2">
      <c r="A56" s="3" t="s">
        <v>217</v>
      </c>
      <c r="B56" s="24">
        <f>0</f>
        <v>0</v>
      </c>
      <c r="C56" s="24">
        <f>0</f>
        <v>0</v>
      </c>
      <c r="D56" s="24">
        <f>0</f>
        <v>0</v>
      </c>
      <c r="E56" s="24">
        <f>Assumptions!$B$69</f>
        <v>0</v>
      </c>
      <c r="F56" s="24">
        <f>Assumptions!$B$69</f>
        <v>0</v>
      </c>
      <c r="G56" s="24">
        <f>Assumptions!$B$69</f>
        <v>0</v>
      </c>
      <c r="H56" s="24">
        <f>Assumptions!$B$69</f>
        <v>0</v>
      </c>
      <c r="I56" s="24">
        <f>Assumptions!$B$69</f>
        <v>0</v>
      </c>
    </row>
    <row r="57" spans="1:9" x14ac:dyDescent="0.2">
      <c r="A57" s="3" t="s">
        <v>218</v>
      </c>
      <c r="B57" s="24">
        <f t="shared" ref="B57:I57" si="25">-B20</f>
        <v>-12.022499999999994</v>
      </c>
      <c r="C57" s="24">
        <f t="shared" si="25"/>
        <v>-13.195499999999996</v>
      </c>
      <c r="D57" s="24">
        <f t="shared" si="25"/>
        <v>-14.462339999999998</v>
      </c>
      <c r="E57" s="24">
        <f t="shared" si="25"/>
        <v>-22.028193750000014</v>
      </c>
      <c r="F57" s="24">
        <f t="shared" si="25"/>
        <v>-24.054449250000012</v>
      </c>
      <c r="G57" s="24">
        <f t="shared" si="25"/>
        <v>-25.969260697500019</v>
      </c>
      <c r="H57" s="24">
        <f t="shared" si="25"/>
        <v>-27.871762642837538</v>
      </c>
      <c r="I57" s="24">
        <f t="shared" si="25"/>
        <v>-29.742068401407771</v>
      </c>
    </row>
    <row r="58" spans="1:9" x14ac:dyDescent="0.2">
      <c r="A58" s="5" t="s">
        <v>219</v>
      </c>
      <c r="B58" s="22">
        <f t="shared" ref="B58:I58" si="26">B56+B57</f>
        <v>-12.022499999999994</v>
      </c>
      <c r="C58" s="22">
        <f t="shared" si="26"/>
        <v>-13.195499999999996</v>
      </c>
      <c r="D58" s="22">
        <f t="shared" si="26"/>
        <v>-14.462339999999998</v>
      </c>
      <c r="E58" s="22">
        <f t="shared" si="26"/>
        <v>-22.028193750000014</v>
      </c>
      <c r="F58" s="22">
        <f t="shared" si="26"/>
        <v>-24.054449250000012</v>
      </c>
      <c r="G58" s="22">
        <f t="shared" si="26"/>
        <v>-25.969260697500019</v>
      </c>
      <c r="H58" s="22">
        <f t="shared" si="26"/>
        <v>-27.871762642837538</v>
      </c>
      <c r="I58" s="22">
        <f t="shared" si="26"/>
        <v>-29.742068401407771</v>
      </c>
    </row>
    <row r="59" spans="1:9" x14ac:dyDescent="0.2">
      <c r="A59" s="5" t="s">
        <v>220</v>
      </c>
      <c r="B59" s="22">
        <f t="shared" ref="B59:I59" si="27">B53+B55+B58</f>
        <v>36.768082191780792</v>
      </c>
      <c r="C59" s="22">
        <f t="shared" si="27"/>
        <v>40.586246575342415</v>
      </c>
      <c r="D59" s="22">
        <f t="shared" si="27"/>
        <v>44.67794630136985</v>
      </c>
      <c r="E59" s="22">
        <f t="shared" si="27"/>
        <v>63.195280625342534</v>
      </c>
      <c r="F59" s="22">
        <f t="shared" si="27"/>
        <v>57.657504905506833</v>
      </c>
      <c r="G59" s="22">
        <f t="shared" si="27"/>
        <v>63.470308624454006</v>
      </c>
      <c r="H59" s="22">
        <f t="shared" si="27"/>
        <v>68.824619007846906</v>
      </c>
      <c r="I59" s="22">
        <f t="shared" si="27"/>
        <v>74.174303293717117</v>
      </c>
    </row>
    <row r="60" spans="1:9" x14ac:dyDescent="0.2">
      <c r="A60" s="3" t="s">
        <v>88</v>
      </c>
      <c r="B60" s="24">
        <f>Assumptions!$B$19</f>
        <v>90</v>
      </c>
      <c r="C60" s="24">
        <f t="shared" ref="C60:I60" si="28">B25</f>
        <v>126.76808219178079</v>
      </c>
      <c r="D60" s="24">
        <f t="shared" si="28"/>
        <v>167.35432876712321</v>
      </c>
      <c r="E60" s="24">
        <f t="shared" si="28"/>
        <v>212.03227506849305</v>
      </c>
      <c r="F60" s="24">
        <f t="shared" si="28"/>
        <v>275.2275556938356</v>
      </c>
      <c r="G60" s="24">
        <f t="shared" si="28"/>
        <v>332.88506059934241</v>
      </c>
      <c r="H60" s="24">
        <f t="shared" si="28"/>
        <v>396.3553692237964</v>
      </c>
      <c r="I60" s="24">
        <f t="shared" si="28"/>
        <v>465.17998823164328</v>
      </c>
    </row>
    <row r="61" spans="1:9" x14ac:dyDescent="0.2">
      <c r="A61" s="5" t="s">
        <v>221</v>
      </c>
      <c r="B61" s="22">
        <f t="shared" ref="B61:I61" si="29">B60+B59</f>
        <v>126.76808219178079</v>
      </c>
      <c r="C61" s="22">
        <f t="shared" si="29"/>
        <v>167.35432876712321</v>
      </c>
      <c r="D61" s="22">
        <f t="shared" si="29"/>
        <v>212.03227506849305</v>
      </c>
      <c r="E61" s="22">
        <f t="shared" si="29"/>
        <v>275.2275556938356</v>
      </c>
      <c r="F61" s="22">
        <f t="shared" si="29"/>
        <v>332.88506059934241</v>
      </c>
      <c r="G61" s="22">
        <f t="shared" si="29"/>
        <v>396.3553692237964</v>
      </c>
      <c r="H61" s="22">
        <f t="shared" si="29"/>
        <v>465.17998823164328</v>
      </c>
      <c r="I61" s="22">
        <f t="shared" si="29"/>
        <v>539.3542915253604</v>
      </c>
    </row>
    <row r="63" spans="1:9" ht="18" customHeight="1" x14ac:dyDescent="0.2">
      <c r="A63" s="47" t="s">
        <v>222</v>
      </c>
      <c r="B63" s="48"/>
      <c r="C63" s="48"/>
      <c r="D63" s="48"/>
      <c r="E63" s="48"/>
      <c r="F63" s="48"/>
      <c r="G63" s="48"/>
      <c r="H63" s="48"/>
      <c r="I63" s="48"/>
    </row>
    <row r="64" spans="1:9" x14ac:dyDescent="0.2">
      <c r="A64" s="3" t="s">
        <v>223</v>
      </c>
      <c r="B64" s="24">
        <f t="shared" ref="B64:I64" si="30">-(B47+B48+B49+B50+B51+B52)</f>
        <v>7.0719178082191689</v>
      </c>
      <c r="C64" s="24">
        <f t="shared" si="30"/>
        <v>7.6057534246575678</v>
      </c>
      <c r="D64" s="24">
        <f t="shared" si="30"/>
        <v>8.214213698630136</v>
      </c>
      <c r="E64" s="24">
        <f t="shared" si="30"/>
        <v>-2.5140473753424857</v>
      </c>
      <c r="F64" s="24">
        <f t="shared" si="30"/>
        <v>8.6702270044931744</v>
      </c>
      <c r="G64" s="24">
        <f t="shared" si="30"/>
        <v>8.193364519246046</v>
      </c>
      <c r="H64" s="24">
        <f t="shared" si="30"/>
        <v>8.1406928901937157</v>
      </c>
      <c r="I64" s="24">
        <f t="shared" si="30"/>
        <v>8.0029273182058773</v>
      </c>
    </row>
    <row r="65" spans="1:9" x14ac:dyDescent="0.2">
      <c r="A65" s="5" t="s">
        <v>224</v>
      </c>
      <c r="B65" s="22">
        <f>B15*(1-Assumptions!$B$39)+B14-B54-B64</f>
        <v>61.990582191780788</v>
      </c>
      <c r="C65" s="22">
        <f>C15*(1-Assumptions!$B$39)+C14-C54-C64</f>
        <v>66.981746575342413</v>
      </c>
      <c r="D65" s="22">
        <f>D15*(1-Assumptions!$B$39)+D14-D54-D64</f>
        <v>72.340286301369858</v>
      </c>
      <c r="E65" s="22">
        <f>E15*(1-Assumptions!$B$60)+E14-E54-E64</f>
        <v>98.423474375342522</v>
      </c>
      <c r="F65" s="22">
        <f>F15*(1-Assumptions!$B$60)+F14-F54-F64</f>
        <v>94.911954155506862</v>
      </c>
      <c r="G65" s="22">
        <f>G15*(1-Assumptions!$B$60)+G14-G54-G64</f>
        <v>102.63956932195401</v>
      </c>
      <c r="H65" s="22">
        <f>H15*(1-Assumptions!$B$60)+H14-H54-H64</f>
        <v>109.8963816506844</v>
      </c>
      <c r="I65" s="22">
        <f>I15*(1-Assumptions!$B$60)+I14-I54-I64</f>
        <v>117.11637169512488</v>
      </c>
    </row>
  </sheetData>
  <mergeCells count="6">
    <mergeCell ref="A2:I2"/>
    <mergeCell ref="A63:I63"/>
    <mergeCell ref="A5:I5"/>
    <mergeCell ref="A44:I44"/>
    <mergeCell ref="A1:I1"/>
    <mergeCell ref="A24:I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</sheetPr>
  <dimension ref="A1:I44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I1"/>
    </sheetView>
  </sheetViews>
  <sheetFormatPr baseColWidth="10" defaultColWidth="8.83203125" defaultRowHeight="15" x14ac:dyDescent="0.2"/>
  <cols>
    <col min="1" max="1" width="34" customWidth="1"/>
    <col min="2" max="9" width="16" customWidth="1"/>
    <col min="10" max="10" width="4" customWidth="1"/>
    <col min="11" max="11" width="20" customWidth="1"/>
    <col min="12" max="13" width="16" customWidth="1"/>
  </cols>
  <sheetData>
    <row r="1" spans="1:9" ht="26" customHeight="1" x14ac:dyDescent="0.2">
      <c r="A1" s="46" t="s">
        <v>225</v>
      </c>
      <c r="B1" s="48"/>
      <c r="C1" s="48"/>
      <c r="D1" s="48"/>
      <c r="E1" s="48"/>
      <c r="F1" s="48"/>
      <c r="G1" s="48"/>
      <c r="H1" s="48"/>
      <c r="I1" s="48"/>
    </row>
    <row r="2" spans="1:9" x14ac:dyDescent="0.2">
      <c r="A2" s="45" t="s">
        <v>226</v>
      </c>
      <c r="B2" s="48"/>
      <c r="C2" s="48"/>
      <c r="D2" s="48"/>
      <c r="E2" s="48"/>
      <c r="F2" s="48"/>
      <c r="G2" s="48"/>
      <c r="H2" s="48"/>
      <c r="I2" s="48"/>
    </row>
    <row r="4" spans="1:9" ht="18" customHeight="1" x14ac:dyDescent="0.2">
      <c r="A4" s="47" t="s">
        <v>227</v>
      </c>
      <c r="B4" s="48"/>
      <c r="C4" s="48"/>
      <c r="D4" s="48"/>
    </row>
    <row r="5" spans="1:9" x14ac:dyDescent="0.2">
      <c r="A5" s="3" t="s">
        <v>132</v>
      </c>
      <c r="B5" s="17">
        <f>Assumptions!$B$73</f>
        <v>4.2000000000000003E-2</v>
      </c>
    </row>
    <row r="6" spans="1:9" x14ac:dyDescent="0.2">
      <c r="A6" s="3" t="s">
        <v>228</v>
      </c>
      <c r="B6" s="13">
        <f>Assumptions!$B$57</f>
        <v>1.1499999999999999</v>
      </c>
    </row>
    <row r="7" spans="1:9" x14ac:dyDescent="0.2">
      <c r="A7" s="3" t="s">
        <v>133</v>
      </c>
      <c r="B7" s="17">
        <f>Assumptions!$B$74</f>
        <v>0.05</v>
      </c>
    </row>
    <row r="8" spans="1:9" x14ac:dyDescent="0.2">
      <c r="A8" s="5" t="s">
        <v>229</v>
      </c>
      <c r="B8" s="28">
        <f>B5+B6*B7</f>
        <v>9.9500000000000005E-2</v>
      </c>
    </row>
    <row r="9" spans="1:9" x14ac:dyDescent="0.2">
      <c r="A9" s="3" t="s">
        <v>134</v>
      </c>
      <c r="B9" s="17">
        <f>Assumptions!$B$75</f>
        <v>6.5000000000000002E-2</v>
      </c>
    </row>
    <row r="10" spans="1:9" x14ac:dyDescent="0.2">
      <c r="A10" s="3" t="s">
        <v>230</v>
      </c>
      <c r="B10" s="12">
        <f>Assumptions!$B$60</f>
        <v>0.25</v>
      </c>
    </row>
    <row r="11" spans="1:9" x14ac:dyDescent="0.2">
      <c r="A11" s="5" t="s">
        <v>231</v>
      </c>
      <c r="B11" s="28">
        <f>B9*(1-B10)</f>
        <v>4.8750000000000002E-2</v>
      </c>
    </row>
    <row r="12" spans="1:9" x14ac:dyDescent="0.2">
      <c r="A12" s="3" t="s">
        <v>232</v>
      </c>
      <c r="B12" s="12">
        <f>Assumptions!$B$76</f>
        <v>0.25</v>
      </c>
    </row>
    <row r="13" spans="1:9" x14ac:dyDescent="0.2">
      <c r="A13" s="3" t="s">
        <v>233</v>
      </c>
      <c r="B13" s="23">
        <f>1-B12</f>
        <v>0.75</v>
      </c>
    </row>
    <row r="14" spans="1:9" x14ac:dyDescent="0.2">
      <c r="A14" s="5" t="s">
        <v>234</v>
      </c>
      <c r="B14" s="29">
        <f>B13*B8+B12*B11</f>
        <v>8.6812500000000001E-2</v>
      </c>
    </row>
    <row r="16" spans="1:9" ht="18" customHeight="1" x14ac:dyDescent="0.2">
      <c r="A16" s="47" t="s">
        <v>235</v>
      </c>
      <c r="B16" s="48"/>
      <c r="C16" s="48"/>
      <c r="D16" s="48"/>
      <c r="E16" s="48"/>
      <c r="F16" s="48"/>
      <c r="G16" s="48"/>
      <c r="H16" s="48"/>
      <c r="I16" s="48"/>
    </row>
    <row r="17" spans="1:9" x14ac:dyDescent="0.2">
      <c r="A17" s="3"/>
      <c r="B17" s="30" t="s">
        <v>118</v>
      </c>
      <c r="C17" s="30" t="s">
        <v>119</v>
      </c>
      <c r="D17" s="30" t="s">
        <v>120</v>
      </c>
      <c r="E17" s="30" t="s">
        <v>121</v>
      </c>
      <c r="F17" s="30" t="s">
        <v>122</v>
      </c>
    </row>
    <row r="18" spans="1:9" x14ac:dyDescent="0.2">
      <c r="A18" s="3" t="s">
        <v>236</v>
      </c>
      <c r="B18" s="6">
        <v>1</v>
      </c>
      <c r="C18" s="6">
        <v>2</v>
      </c>
      <c r="D18" s="6">
        <v>3</v>
      </c>
      <c r="E18" s="6">
        <v>4</v>
      </c>
      <c r="F18" s="6">
        <v>5</v>
      </c>
    </row>
    <row r="19" spans="1:9" x14ac:dyDescent="0.2">
      <c r="A19" s="5" t="s">
        <v>237</v>
      </c>
      <c r="B19" s="31">
        <f>Model!E65</f>
        <v>98.423474375342522</v>
      </c>
      <c r="C19" s="31">
        <f>Model!F65</f>
        <v>94.911954155506862</v>
      </c>
      <c r="D19" s="31">
        <f>Model!G65</f>
        <v>102.63956932195401</v>
      </c>
      <c r="E19" s="31">
        <f>Model!H65</f>
        <v>109.8963816506844</v>
      </c>
      <c r="F19" s="31">
        <f>Model!I65</f>
        <v>117.11637169512488</v>
      </c>
    </row>
    <row r="20" spans="1:9" x14ac:dyDescent="0.2">
      <c r="A20" s="3" t="s">
        <v>238</v>
      </c>
      <c r="B20" s="25">
        <f>1/(1+$B$14)^B18</f>
        <v>0.92012191615389038</v>
      </c>
      <c r="C20" s="25">
        <f>1/(1+$B$14)^C18</f>
        <v>0.84662434058670688</v>
      </c>
      <c r="D20" s="25">
        <f>1/(1+$B$14)^D18</f>
        <v>0.77899761052316474</v>
      </c>
      <c r="E20" s="25">
        <f>1/(1+$B$14)^E18</f>
        <v>0.7167727740738763</v>
      </c>
      <c r="F20" s="25">
        <f>1/(1+$B$14)^F18</f>
        <v>0.65951833832779461</v>
      </c>
    </row>
    <row r="21" spans="1:9" x14ac:dyDescent="0.2">
      <c r="A21" s="5" t="s">
        <v>239</v>
      </c>
      <c r="B21" s="22">
        <f>B19*B20</f>
        <v>90.561595836763487</v>
      </c>
      <c r="C21" s="22">
        <f>C19*C20</f>
        <v>80.354770600701755</v>
      </c>
      <c r="D21" s="22">
        <f>D19*D20</f>
        <v>79.955979246928905</v>
      </c>
      <c r="E21" s="22">
        <f>E19*E20</f>
        <v>78.770734336442501</v>
      </c>
      <c r="F21" s="22">
        <f>F19*F20</f>
        <v>77.240394851349123</v>
      </c>
    </row>
    <row r="23" spans="1:9" x14ac:dyDescent="0.2">
      <c r="A23" s="5" t="s">
        <v>240</v>
      </c>
      <c r="B23" s="22">
        <f>SUM(B21:F21)</f>
        <v>406.88347487218573</v>
      </c>
    </row>
    <row r="25" spans="1:9" ht="18" customHeight="1" x14ac:dyDescent="0.2">
      <c r="A25" s="47" t="s">
        <v>241</v>
      </c>
      <c r="B25" s="48"/>
      <c r="C25" s="48"/>
      <c r="D25" s="48"/>
      <c r="E25" s="48"/>
      <c r="F25" s="48"/>
      <c r="G25" s="48"/>
      <c r="H25" s="48"/>
      <c r="I25" s="48"/>
    </row>
    <row r="26" spans="1:9" x14ac:dyDescent="0.2">
      <c r="A26" s="3" t="s">
        <v>138</v>
      </c>
      <c r="B26" s="17">
        <f>Assumptions!$B$79</f>
        <v>2.5000000000000001E-2</v>
      </c>
    </row>
    <row r="27" spans="1:9" x14ac:dyDescent="0.2">
      <c r="A27" s="3" t="s">
        <v>242</v>
      </c>
      <c r="B27" s="24">
        <f>F19*(1+B26)</f>
        <v>120.044280987503</v>
      </c>
    </row>
    <row r="28" spans="1:9" x14ac:dyDescent="0.2">
      <c r="A28" s="5" t="s">
        <v>243</v>
      </c>
      <c r="B28" s="22">
        <f>B27/($B$14-B26)</f>
        <v>1942.071279878714</v>
      </c>
    </row>
    <row r="29" spans="1:9" x14ac:dyDescent="0.2">
      <c r="A29" s="5" t="s">
        <v>244</v>
      </c>
      <c r="B29" s="22">
        <f>B28*F20</f>
        <v>1280.8316234197428</v>
      </c>
    </row>
    <row r="30" spans="1:9" x14ac:dyDescent="0.2">
      <c r="A30" s="3" t="s">
        <v>245</v>
      </c>
      <c r="B30" s="31">
        <f>Model!F12</f>
        <v>198.41093856000009</v>
      </c>
    </row>
    <row r="31" spans="1:9" x14ac:dyDescent="0.2">
      <c r="A31" s="3" t="s">
        <v>246</v>
      </c>
      <c r="B31" s="32">
        <f>Assumptions!$B$78</f>
        <v>8.5</v>
      </c>
    </row>
    <row r="32" spans="1:9" x14ac:dyDescent="0.2">
      <c r="A32" s="5" t="s">
        <v>247</v>
      </c>
      <c r="B32" s="22">
        <f>B30*B31</f>
        <v>1686.4929777600007</v>
      </c>
    </row>
    <row r="33" spans="1:9" x14ac:dyDescent="0.2">
      <c r="A33" s="5" t="s">
        <v>248</v>
      </c>
      <c r="B33" s="22">
        <f>B32*F20</f>
        <v>1112.27304629377</v>
      </c>
    </row>
    <row r="35" spans="1:9" ht="18" customHeight="1" x14ac:dyDescent="0.2">
      <c r="A35" s="47" t="s">
        <v>249</v>
      </c>
      <c r="B35" s="48"/>
      <c r="C35" s="48"/>
      <c r="D35" s="48"/>
      <c r="E35" s="48"/>
      <c r="F35" s="48"/>
      <c r="G35" s="48"/>
      <c r="H35" s="48"/>
      <c r="I35" s="48"/>
    </row>
    <row r="36" spans="1:9" x14ac:dyDescent="0.2">
      <c r="A36" s="3"/>
      <c r="B36" s="30" t="s">
        <v>250</v>
      </c>
      <c r="C36" s="30" t="s">
        <v>251</v>
      </c>
    </row>
    <row r="37" spans="1:9" x14ac:dyDescent="0.2">
      <c r="A37" s="5" t="s">
        <v>252</v>
      </c>
      <c r="B37" s="22">
        <f>B23+B29</f>
        <v>1687.7150982919284</v>
      </c>
      <c r="C37" s="22">
        <f>B23+B33</f>
        <v>1519.1565211659558</v>
      </c>
    </row>
    <row r="38" spans="1:9" x14ac:dyDescent="0.2">
      <c r="A38" s="3" t="s">
        <v>253</v>
      </c>
      <c r="B38" s="31">
        <f>-(Model!D34+Model!D35)</f>
        <v>-320</v>
      </c>
      <c r="C38" s="24">
        <f>B38</f>
        <v>-320</v>
      </c>
    </row>
    <row r="39" spans="1:9" x14ac:dyDescent="0.2">
      <c r="A39" s="3" t="s">
        <v>254</v>
      </c>
      <c r="B39" s="31">
        <f>Model!D25</f>
        <v>212.03227506849305</v>
      </c>
      <c r="C39" s="24">
        <f>B39</f>
        <v>212.03227506849305</v>
      </c>
    </row>
    <row r="40" spans="1:9" x14ac:dyDescent="0.2">
      <c r="A40" s="5" t="s">
        <v>255</v>
      </c>
      <c r="B40" s="22">
        <f>B37+B38+B39</f>
        <v>1579.7473733604215</v>
      </c>
      <c r="C40" s="22">
        <f>C37+C38+C39</f>
        <v>1411.188796234449</v>
      </c>
    </row>
    <row r="41" spans="1:9" x14ac:dyDescent="0.2">
      <c r="A41" s="3" t="s">
        <v>116</v>
      </c>
      <c r="B41" s="33">
        <f>Model!F21</f>
        <v>50</v>
      </c>
      <c r="C41" s="25">
        <f>B41</f>
        <v>50</v>
      </c>
    </row>
    <row r="42" spans="1:9" x14ac:dyDescent="0.2">
      <c r="A42" s="5" t="s">
        <v>256</v>
      </c>
      <c r="B42" s="34">
        <f>B40/B41</f>
        <v>31.594947467208431</v>
      </c>
      <c r="C42" s="34">
        <f>C40/C41</f>
        <v>28.223775924688979</v>
      </c>
    </row>
    <row r="43" spans="1:9" x14ac:dyDescent="0.2">
      <c r="A43" s="3" t="s">
        <v>257</v>
      </c>
      <c r="B43" s="35">
        <f>Assumptions!$B$77</f>
        <v>42</v>
      </c>
      <c r="C43" s="26">
        <f>B43</f>
        <v>42</v>
      </c>
    </row>
    <row r="44" spans="1:9" x14ac:dyDescent="0.2">
      <c r="A44" s="5" t="s">
        <v>258</v>
      </c>
      <c r="B44" s="36">
        <f>B42/B43-1</f>
        <v>-0.24773934601884684</v>
      </c>
      <c r="C44" s="36">
        <f>C42/C43-1</f>
        <v>-0.32800533512645291</v>
      </c>
    </row>
  </sheetData>
  <mergeCells count="6">
    <mergeCell ref="A25:I25"/>
    <mergeCell ref="A2:I2"/>
    <mergeCell ref="A4:D4"/>
    <mergeCell ref="A1:I1"/>
    <mergeCell ref="A35:I35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</sheetPr>
  <dimension ref="A1:F29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2" customWidth="1"/>
    <col min="2" max="6" width="14" customWidth="1"/>
  </cols>
  <sheetData>
    <row r="1" spans="1:6" ht="26" customHeight="1" x14ac:dyDescent="0.2">
      <c r="A1" s="46" t="s">
        <v>259</v>
      </c>
      <c r="B1" s="48"/>
      <c r="C1" s="48"/>
      <c r="D1" s="48"/>
      <c r="E1" s="48"/>
      <c r="F1" s="48"/>
    </row>
    <row r="2" spans="1:6" x14ac:dyDescent="0.2">
      <c r="A2" s="45" t="s">
        <v>260</v>
      </c>
      <c r="B2" s="48"/>
      <c r="C2" s="48"/>
      <c r="D2" s="48"/>
      <c r="E2" s="48"/>
      <c r="F2" s="48"/>
    </row>
    <row r="4" spans="1:6" ht="18" customHeight="1" x14ac:dyDescent="0.2">
      <c r="A4" s="47" t="s">
        <v>261</v>
      </c>
      <c r="B4" s="48"/>
      <c r="C4" s="48"/>
      <c r="D4" s="48"/>
      <c r="E4" s="48"/>
      <c r="F4" s="48"/>
    </row>
    <row r="5" spans="1:6" x14ac:dyDescent="0.2">
      <c r="A5" s="3" t="s">
        <v>262</v>
      </c>
    </row>
    <row r="6" spans="1:6" x14ac:dyDescent="0.2">
      <c r="A6" s="5" t="s">
        <v>263</v>
      </c>
      <c r="B6" s="28">
        <f>DCF!$B$26+(-0.01)</f>
        <v>1.5000000000000001E-2</v>
      </c>
      <c r="C6" s="28">
        <f>DCF!$B$26+(-0.005)</f>
        <v>0.02</v>
      </c>
      <c r="D6" s="28">
        <f>DCF!$B$26+(0)</f>
        <v>2.5000000000000001E-2</v>
      </c>
      <c r="E6" s="28">
        <f>DCF!$B$26+(0.005)</f>
        <v>3.0000000000000002E-2</v>
      </c>
      <c r="F6" s="28">
        <f>DCF!$B$26+(0.01)</f>
        <v>3.5000000000000003E-2</v>
      </c>
    </row>
    <row r="7" spans="1:6" x14ac:dyDescent="0.2">
      <c r="A7" s="28">
        <f>DCF!$B$14+(-0.01)</f>
        <v>7.6812500000000006E-2</v>
      </c>
      <c r="B7" s="26">
        <f>((DCF!B$19/(1+$A7)^1+DCF!C$19/(1+$A7)^2+DCF!D$19/(1+$A7)^3+DCF!E$19/(1+$A7)^4+DCF!F$19/(1+$A7)^5+(DCF!F$19*(1+B$6))/($A7-B$6)/(1+$A7)^5)-(Model!D34+Model!D35)+Model!D25)/Model!F21</f>
        <v>32.769162753078945</v>
      </c>
      <c r="C7" s="26">
        <f>((DCF!B$19/(1+$A7)^1+DCF!C$19/(1+$A7)^2+DCF!D$19/(1+$A7)^3+DCF!E$19/(1+$A7)^4+DCF!F$19/(1+$A7)^5+(DCF!F$19*(1+C$6))/($A7-C$6)/(1+$A7)^5)-(Model!D34+Model!D35)+Model!D25)/Model!F21</f>
        <v>35.24965027376598</v>
      </c>
      <c r="D7" s="26">
        <f>((DCF!B$19/(1+$A7)^1+DCF!C$19/(1+$A7)^2+DCF!D$19/(1+$A7)^3+DCF!E$19/(1+$A7)^4+DCF!F$19/(1+$A7)^5+(DCF!F$19*(1+D$6))/($A7-D$6)/(1+$A7)^5)-(Model!D34+Model!D35)+Model!D25)/Model!F21</f>
        <v>38.208880862378138</v>
      </c>
      <c r="E7" s="26">
        <f>((DCF!B$19/(1+$A7)^1+DCF!C$19/(1+$A7)^2+DCF!D$19/(1+$A7)^3+DCF!E$19/(1+$A7)^4+DCF!F$19/(1+$A7)^5+(DCF!F$19*(1+E$6))/($A7-E$6)/(1+$A7)^5)-(Model!D34+Model!D35)+Model!D25)/Model!F21</f>
        <v>41.800256837075679</v>
      </c>
      <c r="F7" s="26">
        <f>((DCF!B$19/(1+$A7)^1+DCF!C$19/(1+$A7)^2+DCF!D$19/(1+$A7)^3+DCF!E$19/(1+$A7)^4+DCF!F$19/(1+$A7)^5+(DCF!F$19*(1+F$6))/($A7-F$6)/(1+$A7)^5)-(Model!D34+Model!D35)+Model!D25)/Model!F21</f>
        <v>46.250556811700861</v>
      </c>
    </row>
    <row r="8" spans="1:6" x14ac:dyDescent="0.2">
      <c r="A8" s="28">
        <f>DCF!$B$14+(-0.005)</f>
        <v>8.1812499999999996E-2</v>
      </c>
      <c r="B8" s="26">
        <f>((DCF!B$19/(1+$A8)^1+DCF!C$19/(1+$A8)^2+DCF!D$19/(1+$A8)^3+DCF!E$19/(1+$A8)^4+DCF!F$19/(1+$A8)^5+(DCF!F$19*(1+B$6))/($A8-B$6)/(1+$A8)^5)-(Model!D34+Model!D35)+Model!D25)/Model!F21</f>
        <v>30.104949310151159</v>
      </c>
      <c r="C8" s="26">
        <f>((DCF!B$19/(1+$A8)^1+DCF!C$19/(1+$A8)^2+DCF!D$19/(1+$A8)^3+DCF!E$19/(1+$A8)^4+DCF!F$19/(1+$A8)^5+(DCF!F$19*(1+C$6))/($A8-C$6)/(1+$A8)^5)-(Model!D34+Model!D35)+Model!D25)/Model!F21</f>
        <v>32.175451035608368</v>
      </c>
      <c r="D8" s="26">
        <f>((DCF!B$19/(1+$A8)^1+DCF!C$19/(1+$A8)^2+DCF!D$19/(1+$A8)^3+DCF!E$19/(1+$A8)^4+DCF!F$19/(1+$A8)^5+(DCF!F$19*(1+D$6))/($A8-D$6)/(1+$A8)^5)-(Model!D34+Model!D35)+Model!D25)/Model!F21</f>
        <v>34.610397509220846</v>
      </c>
      <c r="E8" s="26">
        <f>((DCF!B$19/(1+$A8)^1+DCF!C$19/(1+$A8)^2+DCF!D$19/(1+$A8)^3+DCF!E$19/(1+$A8)^4+DCF!F$19/(1+$A8)^5+(DCF!F$19*(1+E$6))/($A8-E$6)/(1+$A8)^5)-(Model!D34+Model!D35)+Model!D25)/Model!F21</f>
        <v>37.515297463868322</v>
      </c>
      <c r="F8" s="26">
        <f>((DCF!B$19/(1+$A8)^1+DCF!C$19/(1+$A8)^2+DCF!D$19/(1+$A8)^3+DCF!E$19/(1+$A8)^4+DCF!F$19/(1+$A8)^5+(DCF!F$19*(1+F$6))/($A8-F$6)/(1+$A8)^5)-(Model!D34+Model!D35)+Model!D25)/Model!F21</f>
        <v>41.04073679467546</v>
      </c>
    </row>
    <row r="9" spans="1:6" x14ac:dyDescent="0.2">
      <c r="A9" s="28">
        <f>DCF!$B$14+(0)</f>
        <v>8.6812500000000001E-2</v>
      </c>
      <c r="B9" s="26">
        <f>((DCF!B$19/(1+$A9)^1+DCF!C$19/(1+$A9)^2+DCF!D$19/(1+$A9)^3+DCF!E$19/(1+$A9)^4+DCF!F$19/(1+$A9)^5+(DCF!F$19*(1+B$6))/($A9-B$6)/(1+$A9)^5)-(Model!D34+Model!D35)+Model!D25)/Model!F21</f>
        <v>27.812675527724103</v>
      </c>
      <c r="C9" s="26">
        <f>((DCF!B$19/(1+$A9)^1+DCF!C$19/(1+$A9)^2+DCF!D$19/(1+$A9)^3+DCF!E$19/(1+$A9)^4+DCF!F$19/(1+$A9)^5+(DCF!F$19*(1+C$6))/($A9-C$6)/(1+$A9)^5)-(Model!D34+Model!D35)+Model!D25)/Model!F21</f>
        <v>29.562285887008485</v>
      </c>
      <c r="D9" s="37">
        <f>((DCF!B$19/(1+$A9)^1+DCF!C$19/(1+$A9)^2+DCF!D$19/(1+$A9)^3+DCF!E$19/(1+$A9)^4+DCF!F$19/(1+$A9)^5+(DCF!F$19*(1+D$6))/($A9-D$6)/(1+$A9)^5)-(Model!D34+Model!D35)+Model!D25)/Model!F21</f>
        <v>31.594947467208431</v>
      </c>
      <c r="E9" s="26">
        <f>((DCF!B$19/(1+$A9)^1+DCF!C$19/(1+$A9)^2+DCF!D$19/(1+$A9)^3+DCF!E$19/(1+$A9)^4+DCF!F$19/(1+$A9)^5+(DCF!F$19*(1+E$6))/($A9-E$6)/(1+$A9)^5)-(Model!D34+Model!D35)+Model!D25)/Model!F21</f>
        <v>33.985393263945234</v>
      </c>
      <c r="F9" s="26">
        <f>((DCF!B$19/(1+$A9)^1+DCF!C$19/(1+$A9)^2+DCF!D$19/(1+$A9)^3+DCF!E$19/(1+$A9)^4+DCF!F$19/(1+$A9)^5+(DCF!F$19*(1+F$6))/($A9-F$6)/(1+$A9)^5)-(Model!D34+Model!D35)+Model!D25)/Model!F21</f>
        <v>36.837203750040153</v>
      </c>
    </row>
    <row r="10" spans="1:6" x14ac:dyDescent="0.2">
      <c r="A10" s="28">
        <f>DCF!$B$14+(0.005)</f>
        <v>9.1812500000000005E-2</v>
      </c>
      <c r="B10" s="26">
        <f>((DCF!B$19/(1+$A10)^1+DCF!C$19/(1+$A10)^2+DCF!D$19/(1+$A10)^3+DCF!E$19/(1+$A10)^4+DCF!F$19/(1+$A10)^5+(DCF!F$19*(1+B$6))/($A10-B$6)/(1+$A10)^5)-(Model!D34+Model!D35)+Model!D25)/Model!F21</f>
        <v>25.819686962181724</v>
      </c>
      <c r="C10" s="26">
        <f>((DCF!B$19/(1+$A10)^1+DCF!C$19/(1+$A10)^2+DCF!D$19/(1+$A10)^3+DCF!E$19/(1+$A10)^4+DCF!F$19/(1+$A10)^5+(DCF!F$19*(1+C$6))/($A10-C$6)/(1+$A10)^5)-(Model!D34+Model!D35)+Model!D25)/Model!F21</f>
        <v>27.313834262249955</v>
      </c>
      <c r="D10" s="26">
        <f>((DCF!B$19/(1+$A10)^1+DCF!C$19/(1+$A10)^2+DCF!D$19/(1+$A10)^3+DCF!E$19/(1+$A10)^4+DCF!F$19/(1+$A10)^5+(DCF!F$19*(1+D$6))/($A10-D$6)/(1+$A10)^5)-(Model!D34+Model!D35)+Model!D25)/Model!F21</f>
        <v>29.031614460363944</v>
      </c>
      <c r="E10" s="26">
        <f>((DCF!B$19/(1+$A10)^1+DCF!C$19/(1+$A10)^2+DCF!D$19/(1+$A10)^3+DCF!E$19/(1+$A10)^4+DCF!F$19/(1+$A10)^5+(DCF!F$19*(1+E$6))/($A10-E$6)/(1+$A10)^5)-(Model!D34+Model!D35)+Model!D25)/Model!F21</f>
        <v>31.027296409436712</v>
      </c>
      <c r="F10" s="26">
        <f>((DCF!B$19/(1+$A10)^1+DCF!C$19/(1+$A10)^2+DCF!D$19/(1+$A10)^3+DCF!E$19/(1+$A10)^4+DCF!F$19/(1+$A10)^5+(DCF!F$19*(1+F$6))/($A10-F$6)/(1+$A10)^5)-(Model!D34+Model!D35)+Model!D25)/Model!F21</f>
        <v>33.374253509061333</v>
      </c>
    </row>
    <row r="11" spans="1:6" x14ac:dyDescent="0.2">
      <c r="A11" s="28">
        <f>DCF!$B$14+(0.01)</f>
        <v>9.6812499999999996E-2</v>
      </c>
      <c r="B11" s="26">
        <f>((DCF!B$19/(1+$A11)^1+DCF!C$19/(1+$A11)^2+DCF!D$19/(1+$A11)^3+DCF!E$19/(1+$A11)^4+DCF!F$19/(1+$A11)^5+(DCF!F$19*(1+B$6))/($A11-B$6)/(1+$A11)^5)-(Model!D34+Model!D35)+Model!D25)/Model!F21</f>
        <v>24.071090979606307</v>
      </c>
      <c r="C11" s="26">
        <f>((DCF!B$19/(1+$A11)^1+DCF!C$19/(1+$A11)^2+DCF!D$19/(1+$A11)^3+DCF!E$19/(1+$A11)^4+DCF!F$19/(1+$A11)^5+(DCF!F$19*(1+C$6))/($A11-C$6)/(1+$A11)^5)-(Model!D34+Model!D35)+Model!D25)/Model!F21</f>
        <v>25.358855572363154</v>
      </c>
      <c r="D11" s="26">
        <f>((DCF!B$19/(1+$A11)^1+DCF!C$19/(1+$A11)^2+DCF!D$19/(1+$A11)^3+DCF!E$19/(1+$A11)^4+DCF!F$19/(1+$A11)^5+(DCF!F$19*(1+D$6))/($A11-D$6)/(1+$A11)^5)-(Model!D34+Model!D35)+Model!D25)/Model!F21</f>
        <v>26.825943346008682</v>
      </c>
      <c r="E11" s="26">
        <f>((DCF!B$19/(1+$A11)^1+DCF!C$19/(1+$A11)^2+DCF!D$19/(1+$A11)^3+DCF!E$19/(1+$A11)^4+DCF!F$19/(1+$A11)^5+(DCF!F$19*(1+E$6))/($A11-E$6)/(1+$A11)^5)-(Model!D34+Model!D35)+Model!D25)/Model!F21</f>
        <v>28.51261394826345</v>
      </c>
      <c r="F11" s="26">
        <f>((DCF!B$19/(1+$A11)^1+DCF!C$19/(1+$A11)^2+DCF!D$19/(1+$A11)^3+DCF!E$19/(1+$A11)^4+DCF!F$19/(1+$A11)^5+(DCF!F$19*(1+F$6))/($A11-F$6)/(1+$A11)^5)-(Model!D34+Model!D35)+Model!D25)/Model!F21</f>
        <v>30.472153404270259</v>
      </c>
    </row>
    <row r="14" spans="1:6" ht="18" customHeight="1" x14ac:dyDescent="0.2">
      <c r="A14" s="47" t="s">
        <v>264</v>
      </c>
      <c r="B14" s="48"/>
      <c r="C14" s="48"/>
      <c r="D14" s="48"/>
      <c r="E14" s="48"/>
      <c r="F14" s="48"/>
    </row>
    <row r="16" spans="1:6" x14ac:dyDescent="0.2">
      <c r="A16" s="5" t="s">
        <v>265</v>
      </c>
      <c r="B16" s="38">
        <f>DCF!$B$31+(-1)</f>
        <v>7.5</v>
      </c>
      <c r="C16" s="38">
        <f>DCF!$B$31+(-0.5)</f>
        <v>8</v>
      </c>
      <c r="D16" s="38">
        <f>DCF!$B$31+(0)</f>
        <v>8.5</v>
      </c>
      <c r="E16" s="38">
        <f>DCF!$B$31+(0.5)</f>
        <v>9</v>
      </c>
      <c r="F16" s="38">
        <f>DCF!$B$31+(1)</f>
        <v>9.5</v>
      </c>
    </row>
    <row r="17" spans="1:6" x14ac:dyDescent="0.2">
      <c r="A17" s="28">
        <f>DCF!$B$14+(-0.01)</f>
        <v>7.6812500000000006E-2</v>
      </c>
      <c r="B17" s="26">
        <f>((DCF!B$19/(1+$A17)^1+DCF!C$19/(1+$A17)^2+DCF!D$19/(1+$A17)^3+DCF!E$19/(1+$A17)^4+DCF!F$19/(1+$A17)^5+(DCF!$B$30*B$16)/(1+$A17)^5)-(Model!D34+Model!D35)+Model!D25)/Model!F21</f>
        <v>26.75934995511874</v>
      </c>
      <c r="C17" s="26">
        <f>((DCF!B$19/(1+$A17)^1+DCF!C$19/(1+$A17)^2+DCF!D$19/(1+$A17)^3+DCF!E$19/(1+$A17)^4+DCF!F$19/(1+$A17)^5+(DCF!$B$30*C$16)/(1+$A17)^5)-(Model!D34+Model!D35)+Model!D25)/Model!F21</f>
        <v>28.129806186023071</v>
      </c>
      <c r="D17" s="26">
        <f>((DCF!B$19/(1+$A17)^1+DCF!C$19/(1+$A17)^2+DCF!D$19/(1+$A17)^3+DCF!E$19/(1+$A17)^4+DCF!F$19/(1+$A17)^5+(DCF!$B$30*D$16)/(1+$A17)^5)-(Model!D34+Model!D35)+Model!D25)/Model!F21</f>
        <v>29.500262416927399</v>
      </c>
      <c r="E17" s="26">
        <f>((DCF!B$19/(1+$A17)^1+DCF!C$19/(1+$A17)^2+DCF!D$19/(1+$A17)^3+DCF!E$19/(1+$A17)^4+DCF!F$19/(1+$A17)^5+(DCF!$B$30*E$16)/(1+$A17)^5)-(Model!D34+Model!D35)+Model!D25)/Model!F21</f>
        <v>30.870718647831726</v>
      </c>
      <c r="F17" s="26">
        <f>((DCF!B$19/(1+$A17)^1+DCF!C$19/(1+$A17)^2+DCF!D$19/(1+$A17)^3+DCF!E$19/(1+$A17)^4+DCF!F$19/(1+$A17)^5+(DCF!$B$30*F$16)/(1+$A17)^5)-(Model!D34+Model!D35)+Model!D25)/Model!F21</f>
        <v>32.241174878736054</v>
      </c>
    </row>
    <row r="18" spans="1:6" x14ac:dyDescent="0.2">
      <c r="A18" s="28">
        <f>DCF!$B$14+(-0.005)</f>
        <v>8.1812499999999996E-2</v>
      </c>
      <c r="B18" s="26">
        <f>((DCF!B$19/(1+$A18)^1+DCF!C$19/(1+$A18)^2+DCF!D$19/(1+$A18)^3+DCF!E$19/(1+$A18)^4+DCF!F$19/(1+$A18)^5+(DCF!$B$30*B$16)/(1+$A18)^5)-(Model!D34+Model!D35)+Model!D25)/Model!F21</f>
        <v>26.175369589440781</v>
      </c>
      <c r="C18" s="26">
        <f>((DCF!B$19/(1+$A18)^1+DCF!C$19/(1+$A18)^2+DCF!D$19/(1+$A18)^3+DCF!E$19/(1+$A18)^4+DCF!F$19/(1+$A18)^5+(DCF!$B$30*C$16)/(1+$A18)^5)-(Model!D34+Model!D35)+Model!D25)/Model!F21</f>
        <v>27.514446849937595</v>
      </c>
      <c r="D18" s="26">
        <f>((DCF!B$19/(1+$A18)^1+DCF!C$19/(1+$A18)^2+DCF!D$19/(1+$A18)^3+DCF!E$19/(1+$A18)^4+DCF!F$19/(1+$A18)^5+(DCF!$B$30*D$16)/(1+$A18)^5)-(Model!D34+Model!D35)+Model!D25)/Model!F21</f>
        <v>28.8535241104344</v>
      </c>
      <c r="E18" s="26">
        <f>((DCF!B$19/(1+$A18)^1+DCF!C$19/(1+$A18)^2+DCF!D$19/(1+$A18)^3+DCF!E$19/(1+$A18)^4+DCF!F$19/(1+$A18)^5+(DCF!$B$30*E$16)/(1+$A18)^5)-(Model!D34+Model!D35)+Model!D25)/Model!F21</f>
        <v>30.192601370931214</v>
      </c>
      <c r="F18" s="26">
        <f>((DCF!B$19/(1+$A18)^1+DCF!C$19/(1+$A18)^2+DCF!D$19/(1+$A18)^3+DCF!E$19/(1+$A18)^4+DCF!F$19/(1+$A18)^5+(DCF!$B$30*F$16)/(1+$A18)^5)-(Model!D34+Model!D35)+Model!D25)/Model!F21</f>
        <v>31.531678631428029</v>
      </c>
    </row>
    <row r="19" spans="1:6" x14ac:dyDescent="0.2">
      <c r="A19" s="28">
        <f>DCF!$B$14+(0)</f>
        <v>8.6812500000000001E-2</v>
      </c>
      <c r="B19" s="26">
        <f>((DCF!B$19/(1+$A19)^1+DCF!C$19/(1+$A19)^2+DCF!D$19/(1+$A19)^3+DCF!E$19/(1+$A19)^4+DCF!F$19/(1+$A19)^5+(DCF!$B$30*B$16)/(1+$A19)^5)-(Model!D34+Model!D35)+Model!D25)/Model!F21</f>
        <v>25.606662874585989</v>
      </c>
      <c r="C19" s="26">
        <f>((DCF!B$19/(1+$A19)^1+DCF!C$19/(1+$A19)^2+DCF!D$19/(1+$A19)^3+DCF!E$19/(1+$A19)^4+DCF!F$19/(1+$A19)^5+(DCF!$B$30*C$16)/(1+$A19)^5)-(Model!D34+Model!D35)+Model!D25)/Model!F21</f>
        <v>26.915219399637479</v>
      </c>
      <c r="D19" s="37">
        <f>((DCF!B$19/(1+$A19)^1+DCF!C$19/(1+$A19)^2+DCF!D$19/(1+$A19)^3+DCF!E$19/(1+$A19)^4+DCF!F$19/(1+$A19)^5+(DCF!$B$30*D$16)/(1+$A19)^5)-(Model!D34+Model!D35)+Model!D25)/Model!F21</f>
        <v>28.223775924688979</v>
      </c>
      <c r="E19" s="26">
        <f>((DCF!B$19/(1+$A19)^1+DCF!C$19/(1+$A19)^2+DCF!D$19/(1+$A19)^3+DCF!E$19/(1+$A19)^4+DCF!F$19/(1+$A19)^5+(DCF!$B$30*E$16)/(1+$A19)^5)-(Model!D34+Model!D35)+Model!D25)/Model!F21</f>
        <v>29.532332449740469</v>
      </c>
      <c r="F19" s="26">
        <f>((DCF!B$19/(1+$A19)^1+DCF!C$19/(1+$A19)^2+DCF!D$19/(1+$A19)^3+DCF!E$19/(1+$A19)^4+DCF!F$19/(1+$A19)^5+(DCF!$B$30*F$16)/(1+$A19)^5)-(Model!D34+Model!D35)+Model!D25)/Model!F21</f>
        <v>30.840888974791969</v>
      </c>
    </row>
    <row r="20" spans="1:6" x14ac:dyDescent="0.2">
      <c r="A20" s="28">
        <f>DCF!$B$14+(0.005)</f>
        <v>9.1812500000000005E-2</v>
      </c>
      <c r="B20" s="26">
        <f>((DCF!B$19/(1+$A20)^1+DCF!C$19/(1+$A20)^2+DCF!D$19/(1+$A20)^3+DCF!E$19/(1+$A20)^4+DCF!F$19/(1+$A20)^5+(DCF!$B$30*B$16)/(1+$A20)^5)-(Model!D34+Model!D35)+Model!D25)/Model!F21</f>
        <v>25.052755660093773</v>
      </c>
      <c r="C20" s="26">
        <f>((DCF!B$19/(1+$A20)^1+DCF!C$19/(1+$A20)^2+DCF!D$19/(1+$A20)^3+DCF!E$19/(1+$A20)^4+DCF!F$19/(1+$A20)^5+(DCF!$B$30*C$16)/(1+$A20)^5)-(Model!D34+Model!D35)+Model!D25)/Model!F21</f>
        <v>26.33162242362857</v>
      </c>
      <c r="D20" s="26">
        <f>((DCF!B$19/(1+$A20)^1+DCF!C$19/(1+$A20)^2+DCF!D$19/(1+$A20)^3+DCF!E$19/(1+$A20)^4+DCF!F$19/(1+$A20)^5+(DCF!$B$30*D$16)/(1+$A20)^5)-(Model!D34+Model!D35)+Model!D25)/Model!F21</f>
        <v>27.610489187163356</v>
      </c>
      <c r="E20" s="26">
        <f>((DCF!B$19/(1+$A20)^1+DCF!C$19/(1+$A20)^2+DCF!D$19/(1+$A20)^3+DCF!E$19/(1+$A20)^4+DCF!F$19/(1+$A20)^5+(DCF!$B$30*E$16)/(1+$A20)^5)-(Model!D34+Model!D35)+Model!D25)/Model!F21</f>
        <v>28.889355950698146</v>
      </c>
      <c r="F20" s="26">
        <f>((DCF!B$19/(1+$A20)^1+DCF!C$19/(1+$A20)^2+DCF!D$19/(1+$A20)^3+DCF!E$19/(1+$A20)^4+DCF!F$19/(1+$A20)^5+(DCF!$B$30*F$16)/(1+$A20)^5)-(Model!D34+Model!D35)+Model!D25)/Model!F21</f>
        <v>30.168222714232943</v>
      </c>
    </row>
    <row r="21" spans="1:6" x14ac:dyDescent="0.2">
      <c r="A21" s="28">
        <f>DCF!$B$14+(0.01)</f>
        <v>9.6812499999999996E-2</v>
      </c>
      <c r="B21" s="26">
        <f>((DCF!B$19/(1+$A21)^1+DCF!C$19/(1+$A21)^2+DCF!D$19/(1+$A21)^3+DCF!E$19/(1+$A21)^4+DCF!F$19/(1+$A21)^5+(DCF!$B$30*B$16)/(1+$A21)^5)-(Model!D34+Model!D35)+Model!D25)/Model!F21</f>
        <v>24.513190692540476</v>
      </c>
      <c r="C21" s="26">
        <f>((DCF!B$19/(1+$A21)^1+DCF!C$19/(1+$A21)^2+DCF!D$19/(1+$A21)^3+DCF!E$19/(1+$A21)^4+DCF!F$19/(1+$A21)^5+(DCF!$B$30*C$16)/(1+$A21)^5)-(Model!D34+Model!D35)+Model!D25)/Model!F21</f>
        <v>25.7631723926009</v>
      </c>
      <c r="D21" s="26">
        <f>((DCF!B$19/(1+$A21)^1+DCF!C$19/(1+$A21)^2+DCF!D$19/(1+$A21)^3+DCF!E$19/(1+$A21)^4+DCF!F$19/(1+$A21)^5+(DCF!$B$30*D$16)/(1+$A21)^5)-(Model!D34+Model!D35)+Model!D25)/Model!F21</f>
        <v>27.013154092661335</v>
      </c>
      <c r="E21" s="26">
        <f>((DCF!B$19/(1+$A21)^1+DCF!C$19/(1+$A21)^2+DCF!D$19/(1+$A21)^3+DCF!E$19/(1+$A21)^4+DCF!F$19/(1+$A21)^5+(DCF!$B$30*E$16)/(1+$A21)^5)-(Model!D34+Model!D35)+Model!D25)/Model!F21</f>
        <v>28.263135792721769</v>
      </c>
      <c r="F21" s="26">
        <f>((DCF!B$19/(1+$A21)^1+DCF!C$19/(1+$A21)^2+DCF!D$19/(1+$A21)^3+DCF!E$19/(1+$A21)^4+DCF!F$19/(1+$A21)^5+(DCF!$B$30*F$16)/(1+$A21)^5)-(Model!D34+Model!D35)+Model!D25)/Model!F21</f>
        <v>29.513117492782204</v>
      </c>
    </row>
    <row r="24" spans="1:6" ht="18" customHeight="1" x14ac:dyDescent="0.2">
      <c r="A24" s="47" t="s">
        <v>266</v>
      </c>
      <c r="B24" s="48"/>
      <c r="C24" s="48"/>
      <c r="D24" s="48"/>
      <c r="E24" s="48"/>
      <c r="F24" s="48"/>
    </row>
    <row r="25" spans="1:6" x14ac:dyDescent="0.2">
      <c r="A25" s="30" t="s">
        <v>267</v>
      </c>
      <c r="B25" s="30" t="s">
        <v>268</v>
      </c>
      <c r="C25" s="30" t="s">
        <v>269</v>
      </c>
      <c r="D25" s="30" t="s">
        <v>270</v>
      </c>
      <c r="E25" s="30" t="s">
        <v>234</v>
      </c>
      <c r="F25" s="30" t="s">
        <v>145</v>
      </c>
    </row>
    <row r="26" spans="1:6" x14ac:dyDescent="0.2">
      <c r="A26" s="3" t="s">
        <v>143</v>
      </c>
    </row>
    <row r="27" spans="1:6" x14ac:dyDescent="0.2">
      <c r="A27" s="3" t="s">
        <v>271</v>
      </c>
    </row>
    <row r="28" spans="1:6" x14ac:dyDescent="0.2">
      <c r="A28" s="3" t="s">
        <v>144</v>
      </c>
    </row>
    <row r="29" spans="1:6" x14ac:dyDescent="0.2">
      <c r="A29" s="3" t="s">
        <v>272</v>
      </c>
    </row>
  </sheetData>
  <mergeCells count="5">
    <mergeCell ref="A24:F24"/>
    <mergeCell ref="A2:F2"/>
    <mergeCell ref="A14:F14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K130"/>
  <sheetViews>
    <sheetView showGridLines="0" workbookViewId="0">
      <pane xSplit="1" ySplit="3" topLeftCell="B16" activePane="bottomRight" state="frozen"/>
      <selection pane="topRight"/>
      <selection pane="bottomLeft"/>
      <selection pane="bottomRight" activeCell="C66" sqref="C66"/>
    </sheetView>
  </sheetViews>
  <sheetFormatPr baseColWidth="10" defaultColWidth="8.83203125" defaultRowHeight="15" x14ac:dyDescent="0.2"/>
  <cols>
    <col min="1" max="1" width="16" customWidth="1"/>
    <col min="2" max="6" width="13" customWidth="1"/>
    <col min="7" max="7" width="4" customWidth="1"/>
    <col min="8" max="8" width="22" customWidth="1"/>
    <col min="9" max="9" width="13" customWidth="1"/>
  </cols>
  <sheetData>
    <row r="1" spans="1:11" ht="26" customHeight="1" x14ac:dyDescent="0.2">
      <c r="A1" s="46" t="s">
        <v>273</v>
      </c>
      <c r="B1" s="48"/>
      <c r="C1" s="48"/>
      <c r="D1" s="48"/>
      <c r="E1" s="48"/>
      <c r="F1" s="48"/>
      <c r="G1" s="48"/>
      <c r="H1" s="48"/>
      <c r="I1" s="48"/>
    </row>
    <row r="2" spans="1:11" x14ac:dyDescent="0.2">
      <c r="A2" s="45" t="s">
        <v>274</v>
      </c>
      <c r="B2" s="48"/>
      <c r="C2" s="48"/>
      <c r="D2" s="48"/>
      <c r="E2" s="48"/>
      <c r="F2" s="48"/>
      <c r="G2" s="48"/>
      <c r="H2" s="48"/>
      <c r="I2" s="48"/>
    </row>
    <row r="4" spans="1:11" ht="18" customHeight="1" x14ac:dyDescent="0.2">
      <c r="A4" s="47" t="s">
        <v>275</v>
      </c>
      <c r="B4" s="48"/>
      <c r="C4" s="48"/>
      <c r="D4" s="48"/>
      <c r="E4" s="48"/>
      <c r="F4" s="48"/>
    </row>
    <row r="5" spans="1:11" x14ac:dyDescent="0.2">
      <c r="A5" s="5" t="s">
        <v>276</v>
      </c>
      <c r="B5" s="30" t="s">
        <v>277</v>
      </c>
      <c r="C5" s="30" t="s">
        <v>278</v>
      </c>
      <c r="D5" s="30" t="s">
        <v>279</v>
      </c>
      <c r="E5" s="30" t="s">
        <v>280</v>
      </c>
      <c r="F5" s="30" t="s">
        <v>281</v>
      </c>
      <c r="H5" s="30" t="s">
        <v>282</v>
      </c>
      <c r="I5" s="30" t="s">
        <v>283</v>
      </c>
      <c r="J5" s="30" t="s">
        <v>284</v>
      </c>
      <c r="K5" s="30" t="s">
        <v>285</v>
      </c>
    </row>
    <row r="6" spans="1:11" x14ac:dyDescent="0.2">
      <c r="A6" s="3" t="s">
        <v>286</v>
      </c>
      <c r="B6" s="14">
        <v>4.6800000000000001E-2</v>
      </c>
      <c r="C6" s="14">
        <v>0.01</v>
      </c>
      <c r="D6" s="14">
        <v>4.9799999999999997E-2</v>
      </c>
      <c r="E6" s="14">
        <v>7.9899999999999999E-2</v>
      </c>
      <c r="F6" s="14">
        <v>2.7699999999999999E-2</v>
      </c>
      <c r="H6" s="39">
        <f t="shared" ref="H6:H41" si="0">SUMPRODUCT($B$66:$F$66,B6:F6)</f>
        <v>4.2840000000000003E-2</v>
      </c>
      <c r="I6" s="25">
        <f>1*(1+H6)</f>
        <v>1.04284</v>
      </c>
      <c r="J6" s="25">
        <f>I6</f>
        <v>1.04284</v>
      </c>
      <c r="K6" s="23">
        <f t="shared" ref="K6:K41" si="1">I6/J6-1</f>
        <v>0</v>
      </c>
    </row>
    <row r="7" spans="1:11" x14ac:dyDescent="0.2">
      <c r="A7" s="3" t="s">
        <v>287</v>
      </c>
      <c r="B7" s="14">
        <v>-4.4000000000000003E-3</v>
      </c>
      <c r="C7" s="14">
        <v>7.0900000000000005E-2</v>
      </c>
      <c r="D7" s="14">
        <v>5.8099999999999999E-2</v>
      </c>
      <c r="E7" s="14">
        <v>1.32E-2</v>
      </c>
      <c r="F7" s="14">
        <v>4.5600000000000002E-2</v>
      </c>
      <c r="H7" s="39">
        <f t="shared" si="0"/>
        <v>3.6680000000000004E-2</v>
      </c>
      <c r="I7" s="25">
        <f t="shared" ref="I7:I41" si="2">I6*(1+H7)</f>
        <v>1.0810913712000001</v>
      </c>
      <c r="J7" s="25">
        <f t="shared" ref="J7:J41" si="3">MAX(J6,I7)</f>
        <v>1.0810913712000001</v>
      </c>
      <c r="K7" s="23">
        <f t="shared" si="1"/>
        <v>0</v>
      </c>
    </row>
    <row r="8" spans="1:11" x14ac:dyDescent="0.2">
      <c r="A8" s="3" t="s">
        <v>288</v>
      </c>
      <c r="B8" s="14">
        <v>-2.0400000000000001E-2</v>
      </c>
      <c r="C8" s="14">
        <v>-1.89E-2</v>
      </c>
      <c r="D8" s="14">
        <v>9.5999999999999992E-3</v>
      </c>
      <c r="E8" s="14">
        <v>-9.2299999999999993E-2</v>
      </c>
      <c r="F8" s="14">
        <v>-0.10589999999999999</v>
      </c>
      <c r="H8" s="39">
        <f t="shared" si="0"/>
        <v>-4.5580000000000002E-2</v>
      </c>
      <c r="I8" s="25">
        <f t="shared" si="2"/>
        <v>1.0318152265007041</v>
      </c>
      <c r="J8" s="25">
        <f t="shared" si="3"/>
        <v>1.0810913712000001</v>
      </c>
      <c r="K8" s="23">
        <f t="shared" si="1"/>
        <v>-4.5579999999999954E-2</v>
      </c>
    </row>
    <row r="9" spans="1:11" x14ac:dyDescent="0.2">
      <c r="A9" s="3" t="s">
        <v>289</v>
      </c>
      <c r="B9" s="14">
        <v>-2.7400000000000001E-2</v>
      </c>
      <c r="C9" s="14">
        <v>-4.36E-2</v>
      </c>
      <c r="D9" s="14">
        <v>8.3999999999999995E-3</v>
      </c>
      <c r="E9" s="14">
        <v>-5.9499999999999997E-2</v>
      </c>
      <c r="F9" s="14">
        <v>-8.7400000000000005E-2</v>
      </c>
      <c r="H9" s="39">
        <f t="shared" si="0"/>
        <v>-4.1900000000000007E-2</v>
      </c>
      <c r="I9" s="25">
        <f t="shared" si="2"/>
        <v>0.98858216851032454</v>
      </c>
      <c r="J9" s="25">
        <f t="shared" si="3"/>
        <v>1.0810913712000001</v>
      </c>
      <c r="K9" s="23">
        <f t="shared" si="1"/>
        <v>-8.5570198000000097E-2</v>
      </c>
    </row>
    <row r="10" spans="1:11" x14ac:dyDescent="0.2">
      <c r="A10" s="3" t="s">
        <v>290</v>
      </c>
      <c r="B10" s="14">
        <v>0.11459999999999999</v>
      </c>
      <c r="C10" s="14">
        <v>2.1600000000000001E-2</v>
      </c>
      <c r="D10" s="14">
        <v>3.0300000000000001E-2</v>
      </c>
      <c r="E10" s="14">
        <v>-3.7699999999999997E-2</v>
      </c>
      <c r="F10" s="14">
        <v>-1E-3</v>
      </c>
      <c r="H10" s="39">
        <f t="shared" si="0"/>
        <v>2.5560000000000006E-2</v>
      </c>
      <c r="I10" s="25">
        <f t="shared" si="2"/>
        <v>1.0138503287374485</v>
      </c>
      <c r="J10" s="25">
        <f t="shared" si="3"/>
        <v>1.0810913712000001</v>
      </c>
      <c r="K10" s="23">
        <f t="shared" si="1"/>
        <v>-6.2197372260879957E-2</v>
      </c>
    </row>
    <row r="11" spans="1:11" x14ac:dyDescent="0.2">
      <c r="A11" s="3" t="s">
        <v>291</v>
      </c>
      <c r="B11" s="14">
        <v>1.9800000000000002E-2</v>
      </c>
      <c r="C11" s="14">
        <v>-3.8800000000000001E-2</v>
      </c>
      <c r="D11" s="14">
        <v>2.1000000000000001E-2</v>
      </c>
      <c r="E11" s="14">
        <v>-3.8300000000000001E-2</v>
      </c>
      <c r="F11" s="14">
        <v>-1.67E-2</v>
      </c>
      <c r="H11" s="39">
        <f t="shared" si="0"/>
        <v>-1.0599999999999998E-2</v>
      </c>
      <c r="I11" s="25">
        <f t="shared" si="2"/>
        <v>1.0031035152528316</v>
      </c>
      <c r="J11" s="25">
        <f t="shared" si="3"/>
        <v>1.0810913712000001</v>
      </c>
      <c r="K11" s="23">
        <f t="shared" si="1"/>
        <v>-7.2138080114914627E-2</v>
      </c>
    </row>
    <row r="12" spans="1:11" x14ac:dyDescent="0.2">
      <c r="A12" s="3" t="s">
        <v>292</v>
      </c>
      <c r="B12" s="14">
        <v>-3.0099999999999998E-2</v>
      </c>
      <c r="C12" s="14">
        <v>7.6600000000000001E-2</v>
      </c>
      <c r="D12" s="14">
        <v>9.4999999999999998E-3</v>
      </c>
      <c r="E12" s="14">
        <v>-1.44E-2</v>
      </c>
      <c r="F12" s="14">
        <v>4.1700000000000001E-2</v>
      </c>
      <c r="H12" s="39">
        <f t="shared" si="0"/>
        <v>1.6660000000000001E-2</v>
      </c>
      <c r="I12" s="25">
        <f t="shared" si="2"/>
        <v>1.0198152198169437</v>
      </c>
      <c r="J12" s="25">
        <f t="shared" si="3"/>
        <v>1.0810913712000001</v>
      </c>
      <c r="K12" s="23">
        <f t="shared" si="1"/>
        <v>-5.6679900529629124E-2</v>
      </c>
    </row>
    <row r="13" spans="1:11" x14ac:dyDescent="0.2">
      <c r="A13" s="3" t="s">
        <v>293</v>
      </c>
      <c r="B13" s="14">
        <v>-7.3499999999999996E-2</v>
      </c>
      <c r="C13" s="14">
        <v>-2.3999999999999998E-3</v>
      </c>
      <c r="D13" s="14">
        <v>-0.12379999999999999</v>
      </c>
      <c r="E13" s="14">
        <v>-6.9000000000000006E-2</v>
      </c>
      <c r="F13" s="14">
        <v>-3.4500000000000003E-2</v>
      </c>
      <c r="H13" s="39">
        <f t="shared" si="0"/>
        <v>-6.0640000000000006E-2</v>
      </c>
      <c r="I13" s="25">
        <f t="shared" si="2"/>
        <v>0.95797362488724414</v>
      </c>
      <c r="J13" s="25">
        <f t="shared" si="3"/>
        <v>1.0810913712000001</v>
      </c>
      <c r="K13" s="23">
        <f t="shared" si="1"/>
        <v>-0.11388283136151256</v>
      </c>
    </row>
    <row r="14" spans="1:11" x14ac:dyDescent="0.2">
      <c r="A14" s="3" t="s">
        <v>294</v>
      </c>
      <c r="B14" s="14">
        <v>6.3700000000000007E-2</v>
      </c>
      <c r="C14" s="14">
        <v>2.69E-2</v>
      </c>
      <c r="D14" s="14">
        <v>1.1599999999999999E-2</v>
      </c>
      <c r="E14" s="14">
        <v>7.7999999999999996E-3</v>
      </c>
      <c r="F14" s="14">
        <v>-4.7899999999999998E-2</v>
      </c>
      <c r="H14" s="39">
        <f t="shared" si="0"/>
        <v>1.2419999999999999E-2</v>
      </c>
      <c r="I14" s="25">
        <f t="shared" si="2"/>
        <v>0.96987165730834379</v>
      </c>
      <c r="J14" s="25">
        <f t="shared" si="3"/>
        <v>1.0810913712000001</v>
      </c>
      <c r="K14" s="23">
        <f t="shared" si="1"/>
        <v>-0.10287725612702248</v>
      </c>
    </row>
    <row r="15" spans="1:11" x14ac:dyDescent="0.2">
      <c r="A15" s="3" t="s">
        <v>295</v>
      </c>
      <c r="B15" s="14">
        <v>-3.8399999999999997E-2</v>
      </c>
      <c r="C15" s="14">
        <v>-2.2800000000000001E-2</v>
      </c>
      <c r="D15" s="14">
        <v>5.28E-2</v>
      </c>
      <c r="E15" s="14">
        <v>4.4999999999999997E-3</v>
      </c>
      <c r="F15" s="14">
        <v>-8.43E-2</v>
      </c>
      <c r="H15" s="39">
        <f t="shared" si="0"/>
        <v>-1.7639999999999999E-2</v>
      </c>
      <c r="I15" s="25">
        <f t="shared" si="2"/>
        <v>0.95276312127342466</v>
      </c>
      <c r="J15" s="25">
        <f t="shared" si="3"/>
        <v>1.0810913712000001</v>
      </c>
      <c r="K15" s="23">
        <f t="shared" si="1"/>
        <v>-0.11870250132894167</v>
      </c>
    </row>
    <row r="16" spans="1:11" x14ac:dyDescent="0.2">
      <c r="A16" s="3" t="s">
        <v>296</v>
      </c>
      <c r="B16" s="14">
        <v>3.4700000000000002E-2</v>
      </c>
      <c r="C16" s="14">
        <v>-3.0999999999999999E-3</v>
      </c>
      <c r="D16" s="14">
        <v>-3.09E-2</v>
      </c>
      <c r="E16" s="14">
        <v>3.0599999999999999E-2</v>
      </c>
      <c r="F16" s="14">
        <v>6.3100000000000003E-2</v>
      </c>
      <c r="H16" s="39">
        <f t="shared" si="0"/>
        <v>1.8880000000000001E-2</v>
      </c>
      <c r="I16" s="25">
        <f t="shared" si="2"/>
        <v>0.97075128900306695</v>
      </c>
      <c r="J16" s="25">
        <f t="shared" si="3"/>
        <v>1.0810913712000001</v>
      </c>
      <c r="K16" s="23">
        <f t="shared" si="1"/>
        <v>-0.10206360455403207</v>
      </c>
    </row>
    <row r="17" spans="1:11" x14ac:dyDescent="0.2">
      <c r="A17" s="3" t="s">
        <v>297</v>
      </c>
      <c r="B17" s="14">
        <v>7.7200000000000005E-2</v>
      </c>
      <c r="C17" s="14">
        <v>-1.2699999999999999E-2</v>
      </c>
      <c r="D17" s="14">
        <v>-3.8999999999999998E-3</v>
      </c>
      <c r="E17" s="14">
        <v>1.9599999999999999E-2</v>
      </c>
      <c r="F17" s="14">
        <v>6.9400000000000003E-2</v>
      </c>
      <c r="H17" s="39">
        <f t="shared" si="0"/>
        <v>2.9920000000000002E-2</v>
      </c>
      <c r="I17" s="25">
        <f t="shared" si="2"/>
        <v>0.99979616757003864</v>
      </c>
      <c r="J17" s="25">
        <f t="shared" si="3"/>
        <v>1.0810913712000001</v>
      </c>
      <c r="K17" s="23">
        <f t="shared" si="1"/>
        <v>-7.51973476022888E-2</v>
      </c>
    </row>
    <row r="18" spans="1:11" x14ac:dyDescent="0.2">
      <c r="A18" s="3" t="s">
        <v>298</v>
      </c>
      <c r="B18" s="14">
        <v>-2.1499999999999998E-2</v>
      </c>
      <c r="C18" s="14">
        <v>-7.4000000000000003E-3</v>
      </c>
      <c r="D18" s="14">
        <v>-6.6299999999999998E-2</v>
      </c>
      <c r="E18" s="14">
        <v>-5.8000000000000003E-2</v>
      </c>
      <c r="F18" s="14">
        <v>1.5299999999999999E-2</v>
      </c>
      <c r="H18" s="39">
        <f t="shared" si="0"/>
        <v>-2.758E-2</v>
      </c>
      <c r="I18" s="25">
        <f t="shared" si="2"/>
        <v>0.97222178926845693</v>
      </c>
      <c r="J18" s="25">
        <f t="shared" si="3"/>
        <v>1.0810913712000001</v>
      </c>
      <c r="K18" s="23">
        <f t="shared" si="1"/>
        <v>-0.10070340475541772</v>
      </c>
    </row>
    <row r="19" spans="1:11" x14ac:dyDescent="0.2">
      <c r="A19" s="3" t="s">
        <v>299</v>
      </c>
      <c r="B19" s="14">
        <v>0.1069</v>
      </c>
      <c r="C19" s="14">
        <v>2.63E-2</v>
      </c>
      <c r="D19" s="14">
        <v>8.3699999999999997E-2</v>
      </c>
      <c r="E19" s="14">
        <v>4.3499999999999997E-2</v>
      </c>
      <c r="F19" s="14">
        <v>1.84E-2</v>
      </c>
      <c r="H19" s="39">
        <f t="shared" si="0"/>
        <v>5.5760000000000004E-2</v>
      </c>
      <c r="I19" s="25">
        <f t="shared" si="2"/>
        <v>1.0264328762380661</v>
      </c>
      <c r="J19" s="25">
        <f t="shared" si="3"/>
        <v>1.0810913712000001</v>
      </c>
      <c r="K19" s="23">
        <f t="shared" si="1"/>
        <v>-5.0558626604579771E-2</v>
      </c>
    </row>
    <row r="20" spans="1:11" x14ac:dyDescent="0.2">
      <c r="A20" s="3" t="s">
        <v>300</v>
      </c>
      <c r="B20" s="14">
        <v>3.73E-2</v>
      </c>
      <c r="C20" s="14">
        <v>7.85E-2</v>
      </c>
      <c r="D20" s="14">
        <v>2.0400000000000001E-2</v>
      </c>
      <c r="E20" s="14">
        <v>0.1095</v>
      </c>
      <c r="F20" s="14">
        <v>-7.8399999999999997E-2</v>
      </c>
      <c r="H20" s="39">
        <f t="shared" si="0"/>
        <v>3.3460000000000004E-2</v>
      </c>
      <c r="I20" s="25">
        <f t="shared" si="2"/>
        <v>1.0607773202769919</v>
      </c>
      <c r="J20" s="25">
        <f t="shared" si="3"/>
        <v>1.0810913712000001</v>
      </c>
      <c r="K20" s="23">
        <f t="shared" si="1"/>
        <v>-1.8790318250768934E-2</v>
      </c>
    </row>
    <row r="21" spans="1:11" x14ac:dyDescent="0.2">
      <c r="A21" s="3" t="s">
        <v>301</v>
      </c>
      <c r="B21" s="14">
        <v>6.9500000000000006E-2</v>
      </c>
      <c r="C21" s="14">
        <v>2.46E-2</v>
      </c>
      <c r="D21" s="14">
        <v>1.6999999999999999E-3</v>
      </c>
      <c r="E21" s="14">
        <v>2.4500000000000001E-2</v>
      </c>
      <c r="F21" s="14">
        <v>-6.8599999999999994E-2</v>
      </c>
      <c r="H21" s="39">
        <f t="shared" si="0"/>
        <v>1.0340000000000005E-2</v>
      </c>
      <c r="I21" s="25">
        <f t="shared" si="2"/>
        <v>1.071745757768656</v>
      </c>
      <c r="J21" s="25">
        <f t="shared" si="3"/>
        <v>1.0810913712000001</v>
      </c>
      <c r="K21" s="23">
        <f t="shared" si="1"/>
        <v>-8.6446101414818788E-3</v>
      </c>
    </row>
    <row r="22" spans="1:11" x14ac:dyDescent="0.2">
      <c r="A22" s="3" t="s">
        <v>302</v>
      </c>
      <c r="B22" s="14">
        <v>-3.3999999999999998E-3</v>
      </c>
      <c r="C22" s="14">
        <v>1.9599999999999999E-2</v>
      </c>
      <c r="D22" s="14">
        <v>9.0499999999999997E-2</v>
      </c>
      <c r="E22" s="14">
        <v>-1.01E-2</v>
      </c>
      <c r="F22" s="14">
        <v>-2.5499999999999998E-2</v>
      </c>
      <c r="H22" s="39">
        <f t="shared" si="0"/>
        <v>1.422E-2</v>
      </c>
      <c r="I22" s="25">
        <f t="shared" si="2"/>
        <v>1.0869859824441261</v>
      </c>
      <c r="J22" s="25">
        <f t="shared" si="3"/>
        <v>1.0869859824441261</v>
      </c>
      <c r="K22" s="23">
        <f t="shared" si="1"/>
        <v>0</v>
      </c>
    </row>
    <row r="23" spans="1:11" x14ac:dyDescent="0.2">
      <c r="A23" s="3" t="s">
        <v>303</v>
      </c>
      <c r="B23" s="14">
        <v>-2.3099999999999999E-2</v>
      </c>
      <c r="C23" s="14">
        <v>3.8699999999999998E-2</v>
      </c>
      <c r="D23" s="14">
        <v>2.4E-2</v>
      </c>
      <c r="E23" s="14">
        <v>-6.4000000000000003E-3</v>
      </c>
      <c r="F23" s="14">
        <v>2.8199999999999999E-2</v>
      </c>
      <c r="H23" s="39">
        <f t="shared" si="0"/>
        <v>1.2279999999999999E-2</v>
      </c>
      <c r="I23" s="25">
        <f t="shared" si="2"/>
        <v>1.1003341703085401</v>
      </c>
      <c r="J23" s="25">
        <f t="shared" si="3"/>
        <v>1.1003341703085401</v>
      </c>
      <c r="K23" s="23">
        <f t="shared" si="1"/>
        <v>0</v>
      </c>
    </row>
    <row r="24" spans="1:11" x14ac:dyDescent="0.2">
      <c r="A24" s="3" t="s">
        <v>304</v>
      </c>
      <c r="B24" s="14">
        <v>1.8800000000000001E-2</v>
      </c>
      <c r="C24" s="14">
        <v>5.04E-2</v>
      </c>
      <c r="D24" s="14">
        <v>-2.5999999999999999E-2</v>
      </c>
      <c r="E24" s="14">
        <v>1.0800000000000001E-2</v>
      </c>
      <c r="F24" s="14">
        <v>-7.1000000000000004E-3</v>
      </c>
      <c r="H24" s="39">
        <f t="shared" si="0"/>
        <v>9.3800000000000029E-3</v>
      </c>
      <c r="I24" s="25">
        <f t="shared" si="2"/>
        <v>1.1106553048260341</v>
      </c>
      <c r="J24" s="25">
        <f t="shared" si="3"/>
        <v>1.1106553048260341</v>
      </c>
      <c r="K24" s="23">
        <f t="shared" si="1"/>
        <v>0</v>
      </c>
    </row>
    <row r="25" spans="1:11" x14ac:dyDescent="0.2">
      <c r="A25" s="3" t="s">
        <v>305</v>
      </c>
      <c r="B25" s="14">
        <v>-9.0399999999999994E-2</v>
      </c>
      <c r="C25" s="14">
        <v>-2.5999999999999999E-3</v>
      </c>
      <c r="D25" s="14">
        <v>1.1999999999999999E-3</v>
      </c>
      <c r="E25" s="14">
        <v>-8.8999999999999999E-3</v>
      </c>
      <c r="F25" s="14">
        <v>-2.9700000000000001E-2</v>
      </c>
      <c r="H25" s="39">
        <f t="shared" si="0"/>
        <v>-2.6079999999999999E-2</v>
      </c>
      <c r="I25" s="25">
        <f t="shared" si="2"/>
        <v>1.0816894144761713</v>
      </c>
      <c r="J25" s="25">
        <f t="shared" si="3"/>
        <v>1.1106553048260341</v>
      </c>
      <c r="K25" s="23">
        <f t="shared" si="1"/>
        <v>-2.6079999999999881E-2</v>
      </c>
    </row>
    <row r="26" spans="1:11" x14ac:dyDescent="0.2">
      <c r="A26" s="3" t="s">
        <v>306</v>
      </c>
      <c r="B26" s="14">
        <v>-8.7099999999999997E-2</v>
      </c>
      <c r="C26" s="14">
        <v>-3.2000000000000001E-2</v>
      </c>
      <c r="D26" s="14">
        <v>-3.7999999999999999E-2</v>
      </c>
      <c r="E26" s="14">
        <v>-5.7799999999999997E-2</v>
      </c>
      <c r="F26" s="14">
        <v>-4.4499999999999998E-2</v>
      </c>
      <c r="H26" s="39">
        <f t="shared" si="0"/>
        <v>-5.1880000000000003E-2</v>
      </c>
      <c r="I26" s="25">
        <f t="shared" si="2"/>
        <v>1.0255713676531475</v>
      </c>
      <c r="J26" s="25">
        <f t="shared" si="3"/>
        <v>1.1106553048260341</v>
      </c>
      <c r="K26" s="23">
        <f t="shared" si="1"/>
        <v>-7.6606969599999908E-2</v>
      </c>
    </row>
    <row r="27" spans="1:11" x14ac:dyDescent="0.2">
      <c r="A27" s="3" t="s">
        <v>307</v>
      </c>
      <c r="B27" s="14">
        <v>4.0300000000000002E-2</v>
      </c>
      <c r="C27" s="14">
        <v>9.3899999999999997E-2</v>
      </c>
      <c r="D27" s="14">
        <v>3.5700000000000003E-2</v>
      </c>
      <c r="E27" s="14">
        <v>5.9400000000000001E-2</v>
      </c>
      <c r="F27" s="14">
        <v>3.5999999999999997E-2</v>
      </c>
      <c r="H27" s="39">
        <f t="shared" si="0"/>
        <v>5.3060000000000003E-2</v>
      </c>
      <c r="I27" s="25">
        <f t="shared" si="2"/>
        <v>1.0799881844208237</v>
      </c>
      <c r="J27" s="25">
        <f t="shared" si="3"/>
        <v>1.1106553048260341</v>
      </c>
      <c r="K27" s="23">
        <f t="shared" si="1"/>
        <v>-2.7611735406975813E-2</v>
      </c>
    </row>
    <row r="28" spans="1:11" x14ac:dyDescent="0.2">
      <c r="A28" s="3" t="s">
        <v>308</v>
      </c>
      <c r="B28" s="14">
        <v>-0.12230000000000001</v>
      </c>
      <c r="C28" s="14">
        <v>-2.3300000000000001E-2</v>
      </c>
      <c r="D28" s="14">
        <v>-1.95E-2</v>
      </c>
      <c r="E28" s="14">
        <v>8.6099999999999996E-2</v>
      </c>
      <c r="F28" s="14">
        <v>-1.72E-2</v>
      </c>
      <c r="H28" s="39">
        <f t="shared" si="0"/>
        <v>-1.924E-2</v>
      </c>
      <c r="I28" s="25">
        <f t="shared" si="2"/>
        <v>1.0592092117525669</v>
      </c>
      <c r="J28" s="25">
        <f t="shared" si="3"/>
        <v>1.1106553048260341</v>
      </c>
      <c r="K28" s="23">
        <f t="shared" si="1"/>
        <v>-4.632048561774571E-2</v>
      </c>
    </row>
    <row r="29" spans="1:11" x14ac:dyDescent="0.2">
      <c r="A29" s="3" t="s">
        <v>309</v>
      </c>
      <c r="B29" s="14">
        <v>3.3099999999999997E-2</v>
      </c>
      <c r="C29" s="14">
        <v>1.1299999999999999E-2</v>
      </c>
      <c r="D29" s="14">
        <v>-5.7099999999999998E-2</v>
      </c>
      <c r="E29" s="14">
        <v>5.9299999999999999E-2</v>
      </c>
      <c r="F29" s="14">
        <v>5.4300000000000001E-2</v>
      </c>
      <c r="H29" s="39">
        <f t="shared" si="0"/>
        <v>2.0180000000000003E-2</v>
      </c>
      <c r="I29" s="25">
        <f t="shared" si="2"/>
        <v>1.0805840536457338</v>
      </c>
      <c r="J29" s="25">
        <f t="shared" si="3"/>
        <v>1.1106553048260341</v>
      </c>
      <c r="K29" s="23">
        <f t="shared" si="1"/>
        <v>-2.7075233017511691E-2</v>
      </c>
    </row>
    <row r="30" spans="1:11" x14ac:dyDescent="0.2">
      <c r="A30" s="3" t="s">
        <v>310</v>
      </c>
      <c r="B30" s="14">
        <v>6.7400000000000002E-2</v>
      </c>
      <c r="C30" s="14">
        <v>-1.7899999999999999E-2</v>
      </c>
      <c r="D30" s="14">
        <v>9.2200000000000004E-2</v>
      </c>
      <c r="E30" s="14">
        <v>-5.7299999999999997E-2</v>
      </c>
      <c r="F30" s="14">
        <v>4.2099999999999999E-2</v>
      </c>
      <c r="H30" s="39">
        <f t="shared" si="0"/>
        <v>2.5300000000000007E-2</v>
      </c>
      <c r="I30" s="25">
        <f t="shared" si="2"/>
        <v>1.1079228302029711</v>
      </c>
      <c r="J30" s="25">
        <f t="shared" si="3"/>
        <v>1.1106553048260341</v>
      </c>
      <c r="K30" s="23">
        <f t="shared" si="1"/>
        <v>-2.4602364128545329E-3</v>
      </c>
    </row>
    <row r="31" spans="1:11" x14ac:dyDescent="0.2">
      <c r="A31" s="3" t="s">
        <v>311</v>
      </c>
      <c r="B31" s="14">
        <v>0.1653</v>
      </c>
      <c r="C31" s="14">
        <v>6.9999999999999999E-4</v>
      </c>
      <c r="D31" s="14">
        <v>-8.9999999999999998E-4</v>
      </c>
      <c r="E31" s="14">
        <v>2.5100000000000001E-2</v>
      </c>
      <c r="F31" s="14">
        <v>2.06E-2</v>
      </c>
      <c r="H31" s="39">
        <f t="shared" si="0"/>
        <v>4.2160000000000003E-2</v>
      </c>
      <c r="I31" s="25">
        <f t="shared" si="2"/>
        <v>1.1546328567243282</v>
      </c>
      <c r="J31" s="25">
        <f t="shared" si="3"/>
        <v>1.1546328567243282</v>
      </c>
      <c r="K31" s="23">
        <f t="shared" si="1"/>
        <v>0</v>
      </c>
    </row>
    <row r="32" spans="1:11" x14ac:dyDescent="0.2">
      <c r="A32" s="3" t="s">
        <v>312</v>
      </c>
      <c r="B32" s="14">
        <v>-9.6500000000000002E-2</v>
      </c>
      <c r="C32" s="14">
        <v>-1.35E-2</v>
      </c>
      <c r="D32" s="14">
        <v>-7.8E-2</v>
      </c>
      <c r="E32" s="14">
        <v>4.1000000000000003E-3</v>
      </c>
      <c r="F32" s="14">
        <v>-7.1599999999999997E-2</v>
      </c>
      <c r="H32" s="39">
        <f t="shared" si="0"/>
        <v>-5.11E-2</v>
      </c>
      <c r="I32" s="25">
        <f t="shared" si="2"/>
        <v>1.095631117745715</v>
      </c>
      <c r="J32" s="25">
        <f t="shared" si="3"/>
        <v>1.1546328567243282</v>
      </c>
      <c r="K32" s="23">
        <f t="shared" si="1"/>
        <v>-5.1100000000000034E-2</v>
      </c>
    </row>
    <row r="33" spans="1:11" x14ac:dyDescent="0.2">
      <c r="A33" s="3" t="s">
        <v>313</v>
      </c>
      <c r="B33" s="14">
        <v>0.1205</v>
      </c>
      <c r="C33" s="14">
        <v>-5.9999999999999995E-4</v>
      </c>
      <c r="D33" s="14">
        <v>5.0000000000000001E-3</v>
      </c>
      <c r="E33" s="14">
        <v>5.11E-2</v>
      </c>
      <c r="F33" s="14">
        <v>-1.7299999999999999E-2</v>
      </c>
      <c r="H33" s="39">
        <f t="shared" si="0"/>
        <v>3.1740000000000004E-2</v>
      </c>
      <c r="I33" s="25">
        <f t="shared" si="2"/>
        <v>1.130406449422964</v>
      </c>
      <c r="J33" s="25">
        <f t="shared" si="3"/>
        <v>1.1546328567243282</v>
      </c>
      <c r="K33" s="23">
        <f t="shared" si="1"/>
        <v>-2.0981914000000046E-2</v>
      </c>
    </row>
    <row r="34" spans="1:11" x14ac:dyDescent="0.2">
      <c r="A34" s="3" t="s">
        <v>314</v>
      </c>
      <c r="B34" s="14">
        <v>2.7900000000000001E-2</v>
      </c>
      <c r="C34" s="14">
        <v>6.6699999999999995E-2</v>
      </c>
      <c r="D34" s="14">
        <v>-7.3800000000000004E-2</v>
      </c>
      <c r="E34" s="14">
        <v>0.04</v>
      </c>
      <c r="F34" s="14">
        <v>2.87E-2</v>
      </c>
      <c r="H34" s="39">
        <f t="shared" si="0"/>
        <v>1.7899999999999999E-2</v>
      </c>
      <c r="I34" s="25">
        <f t="shared" si="2"/>
        <v>1.1506407248676351</v>
      </c>
      <c r="J34" s="25">
        <f t="shared" si="3"/>
        <v>1.1546328567243282</v>
      </c>
      <c r="K34" s="23">
        <f t="shared" si="1"/>
        <v>-3.457490260600049E-3</v>
      </c>
    </row>
    <row r="35" spans="1:11" x14ac:dyDescent="0.2">
      <c r="A35" s="3" t="s">
        <v>315</v>
      </c>
      <c r="B35" s="14">
        <v>6.6699999999999995E-2</v>
      </c>
      <c r="C35" s="14">
        <v>-3.1800000000000002E-2</v>
      </c>
      <c r="D35" s="14">
        <v>-6.7299999999999999E-2</v>
      </c>
      <c r="E35" s="14">
        <v>1.6799999999999999E-2</v>
      </c>
      <c r="F35" s="14">
        <v>2.4299999999999999E-2</v>
      </c>
      <c r="H35" s="39">
        <f t="shared" si="0"/>
        <v>1.7399999999999985E-3</v>
      </c>
      <c r="I35" s="25">
        <f t="shared" si="2"/>
        <v>1.1526428397289048</v>
      </c>
      <c r="J35" s="25">
        <f t="shared" si="3"/>
        <v>1.1546328567243282</v>
      </c>
      <c r="K35" s="23">
        <f t="shared" si="1"/>
        <v>-1.7235062936534762E-3</v>
      </c>
    </row>
    <row r="36" spans="1:11" x14ac:dyDescent="0.2">
      <c r="A36" s="3" t="s">
        <v>316</v>
      </c>
      <c r="B36" s="14">
        <v>2.9499999999999998E-2</v>
      </c>
      <c r="C36" s="14">
        <v>2.6499999999999999E-2</v>
      </c>
      <c r="D36" s="14">
        <v>-2.69E-2</v>
      </c>
      <c r="E36" s="14">
        <v>2.63E-2</v>
      </c>
      <c r="F36" s="14">
        <v>2.9100000000000001E-2</v>
      </c>
      <c r="H36" s="39">
        <f t="shared" si="0"/>
        <v>1.6899999999999998E-2</v>
      </c>
      <c r="I36" s="25">
        <f t="shared" si="2"/>
        <v>1.1721225037203231</v>
      </c>
      <c r="J36" s="25">
        <f t="shared" si="3"/>
        <v>1.1721225037203231</v>
      </c>
      <c r="K36" s="23">
        <f t="shared" si="1"/>
        <v>0</v>
      </c>
    </row>
    <row r="37" spans="1:11" x14ac:dyDescent="0.2">
      <c r="A37" s="3" t="s">
        <v>317</v>
      </c>
      <c r="B37" s="14">
        <v>-3.7999999999999999E-2</v>
      </c>
      <c r="C37" s="14">
        <v>7.5399999999999995E-2</v>
      </c>
      <c r="D37" s="14">
        <v>3.5999999999999997E-2</v>
      </c>
      <c r="E37" s="14">
        <v>-2.1000000000000001E-2</v>
      </c>
      <c r="F37" s="14">
        <v>3.3599999999999998E-2</v>
      </c>
      <c r="H37" s="39">
        <f t="shared" si="0"/>
        <v>1.72E-2</v>
      </c>
      <c r="I37" s="25">
        <f t="shared" si="2"/>
        <v>1.1922830107843128</v>
      </c>
      <c r="J37" s="25">
        <f t="shared" si="3"/>
        <v>1.1922830107843128</v>
      </c>
      <c r="K37" s="23">
        <f t="shared" si="1"/>
        <v>0</v>
      </c>
    </row>
    <row r="38" spans="1:11" x14ac:dyDescent="0.2">
      <c r="A38" s="3" t="s">
        <v>318</v>
      </c>
      <c r="B38" s="14">
        <v>-5.62E-2</v>
      </c>
      <c r="C38" s="14">
        <v>2.58E-2</v>
      </c>
      <c r="D38" s="14">
        <v>6.3799999999999996E-2</v>
      </c>
      <c r="E38" s="14">
        <v>-2.7400000000000001E-2</v>
      </c>
      <c r="F38" s="14">
        <v>4.1300000000000003E-2</v>
      </c>
      <c r="H38" s="39">
        <f t="shared" si="0"/>
        <v>9.4600000000000031E-3</v>
      </c>
      <c r="I38" s="25">
        <f t="shared" si="2"/>
        <v>1.2035620080663323</v>
      </c>
      <c r="J38" s="25">
        <f t="shared" si="3"/>
        <v>1.2035620080663323</v>
      </c>
      <c r="K38" s="23">
        <f t="shared" si="1"/>
        <v>0</v>
      </c>
    </row>
    <row r="39" spans="1:11" x14ac:dyDescent="0.2">
      <c r="A39" s="3" t="s">
        <v>319</v>
      </c>
      <c r="B39" s="14">
        <v>4.0899999999999999E-2</v>
      </c>
      <c r="C39" s="14">
        <v>4.9200000000000001E-2</v>
      </c>
      <c r="D39" s="14">
        <v>0.1275</v>
      </c>
      <c r="E39" s="14">
        <v>2.06E-2</v>
      </c>
      <c r="F39" s="14">
        <v>1.2999999999999999E-3</v>
      </c>
      <c r="H39" s="39">
        <f t="shared" si="0"/>
        <v>4.7900000000000005E-2</v>
      </c>
      <c r="I39" s="25">
        <f t="shared" si="2"/>
        <v>1.2612126282527096</v>
      </c>
      <c r="J39" s="25">
        <f t="shared" si="3"/>
        <v>1.2612126282527096</v>
      </c>
      <c r="K39" s="23">
        <f t="shared" si="1"/>
        <v>0</v>
      </c>
    </row>
    <row r="40" spans="1:11" x14ac:dyDescent="0.2">
      <c r="A40" s="3" t="s">
        <v>320</v>
      </c>
      <c r="B40" s="14">
        <v>-5.0299999999999997E-2</v>
      </c>
      <c r="C40" s="14">
        <v>-4.0399999999999998E-2</v>
      </c>
      <c r="D40" s="14">
        <v>-1.77E-2</v>
      </c>
      <c r="E40" s="14">
        <v>-6.4999999999999997E-3</v>
      </c>
      <c r="F40" s="14">
        <v>-2.0999999999999999E-3</v>
      </c>
      <c r="H40" s="39">
        <f t="shared" si="0"/>
        <v>-2.3400000000000001E-2</v>
      </c>
      <c r="I40" s="25">
        <f t="shared" si="2"/>
        <v>1.2317002527515963</v>
      </c>
      <c r="J40" s="25">
        <f t="shared" si="3"/>
        <v>1.2612126282527096</v>
      </c>
      <c r="K40" s="23">
        <f t="shared" si="1"/>
        <v>-2.3399999999999865E-2</v>
      </c>
    </row>
    <row r="41" spans="1:11" x14ac:dyDescent="0.2">
      <c r="A41" s="3" t="s">
        <v>321</v>
      </c>
      <c r="B41" s="14">
        <v>6.9900000000000004E-2</v>
      </c>
      <c r="C41" s="14">
        <v>2.1600000000000001E-2</v>
      </c>
      <c r="D41" s="14">
        <v>0.1023</v>
      </c>
      <c r="E41" s="14">
        <v>1.03E-2</v>
      </c>
      <c r="F41" s="14">
        <v>0.16569999999999999</v>
      </c>
      <c r="H41" s="39">
        <f t="shared" si="0"/>
        <v>7.3959999999999998E-2</v>
      </c>
      <c r="I41" s="25">
        <f t="shared" si="2"/>
        <v>1.3227968034451045</v>
      </c>
      <c r="J41" s="25">
        <f t="shared" si="3"/>
        <v>1.3227968034451045</v>
      </c>
      <c r="K41" s="23">
        <f t="shared" si="1"/>
        <v>0</v>
      </c>
    </row>
    <row r="43" spans="1:11" ht="18" customHeight="1" x14ac:dyDescent="0.2">
      <c r="A43" s="47" t="s">
        <v>322</v>
      </c>
      <c r="B43" s="48"/>
      <c r="C43" s="48"/>
      <c r="D43" s="48"/>
      <c r="E43" s="48"/>
      <c r="F43" s="48"/>
    </row>
    <row r="44" spans="1:11" x14ac:dyDescent="0.2">
      <c r="A44" s="3"/>
      <c r="B44" s="11" t="s">
        <v>277</v>
      </c>
      <c r="C44" s="11" t="s">
        <v>278</v>
      </c>
      <c r="D44" s="11" t="s">
        <v>279</v>
      </c>
      <c r="E44" s="11" t="s">
        <v>280</v>
      </c>
      <c r="F44" s="11" t="s">
        <v>281</v>
      </c>
    </row>
    <row r="45" spans="1:11" x14ac:dyDescent="0.2">
      <c r="A45" s="5" t="s">
        <v>323</v>
      </c>
      <c r="B45" s="36">
        <f>AVERAGE($B$6:$B$41)*12</f>
        <v>0.15593333333333331</v>
      </c>
      <c r="C45" s="36">
        <f>AVERAGE($C$6:$C$41)*12</f>
        <v>0.16779999999999995</v>
      </c>
      <c r="D45" s="36">
        <f>AVERAGE($D$6:$D$41)*12</f>
        <v>0.10166666666666666</v>
      </c>
      <c r="E45" s="36">
        <f>AVERAGE($E$6:$E$41)*12</f>
        <v>5.9466666666666682E-2</v>
      </c>
      <c r="F45" s="36">
        <f>AVERAGE($F$6:$F$41)*12</f>
        <v>1.5566666666666659E-2</v>
      </c>
    </row>
    <row r="46" spans="1:11" x14ac:dyDescent="0.2">
      <c r="A46" s="5" t="s">
        <v>324</v>
      </c>
      <c r="B46" s="36">
        <f>STDEV($B$6:$B$41)*SQRT(12)</f>
        <v>0.23257159553053561</v>
      </c>
      <c r="C46" s="36">
        <f>STDEV($C$6:$C$41)*SQRT(12)</f>
        <v>0.13040058282078346</v>
      </c>
      <c r="D46" s="36">
        <f>STDEV($D$6:$D$41)*SQRT(12)</f>
        <v>0.19370410915817429</v>
      </c>
      <c r="E46" s="36">
        <f>STDEV($E$6:$E$41)*SQRT(12)</f>
        <v>0.15912911080239814</v>
      </c>
      <c r="F46" s="36">
        <f>STDEV($F$6:$F$41)*SQRT(12)</f>
        <v>0.1884239563679028</v>
      </c>
    </row>
    <row r="48" spans="1:11" ht="18" customHeight="1" x14ac:dyDescent="0.2">
      <c r="A48" s="47" t="s">
        <v>325</v>
      </c>
      <c r="B48" s="48"/>
      <c r="C48" s="48"/>
      <c r="D48" s="48"/>
      <c r="E48" s="48"/>
      <c r="F48" s="48"/>
    </row>
    <row r="49" spans="1:6" x14ac:dyDescent="0.2">
      <c r="A49" s="3"/>
      <c r="B49" s="11" t="s">
        <v>277</v>
      </c>
      <c r="C49" s="11" t="s">
        <v>278</v>
      </c>
      <c r="D49" s="11" t="s">
        <v>279</v>
      </c>
      <c r="E49" s="11" t="s">
        <v>280</v>
      </c>
      <c r="F49" s="11" t="s">
        <v>281</v>
      </c>
    </row>
    <row r="50" spans="1:6" x14ac:dyDescent="0.2">
      <c r="A50" s="5" t="s">
        <v>277</v>
      </c>
      <c r="B50" s="39">
        <f>_xlfn.COVARIANCE.P($B$6:$B$41,$B$6:$B$41)*12</f>
        <v>5.2587059629629639E-2</v>
      </c>
      <c r="C50" s="39">
        <f>_xlfn.COVARIANCE.P($B$6:$B$41,$C$6:$C$41)*12</f>
        <v>5.2664655555555578E-3</v>
      </c>
      <c r="D50" s="39">
        <f>_xlfn.COVARIANCE.P($B$6:$B$41,$D$6:$D$41)*12</f>
        <v>1.2639044814814815E-2</v>
      </c>
      <c r="E50" s="39">
        <f>_xlfn.COVARIANCE.P($B$6:$B$41,$E$6:$E$41)*12</f>
        <v>1.1075040370370368E-2</v>
      </c>
      <c r="F50" s="39">
        <f>_xlfn.COVARIANCE.P($B$6:$B$41,$F$6:$F$41)*12</f>
        <v>1.3754533148148156E-2</v>
      </c>
    </row>
    <row r="51" spans="1:6" x14ac:dyDescent="0.2">
      <c r="A51" s="5" t="s">
        <v>278</v>
      </c>
      <c r="B51" s="39">
        <f>_xlfn.COVARIANCE.P($C$6:$C$41,$B$6:$B$41)*12</f>
        <v>5.2664655555555578E-3</v>
      </c>
      <c r="C51" s="39">
        <f>_xlfn.COVARIANCE.P($C$6:$C$41,$C$6:$C$41)*12</f>
        <v>1.653197E-2</v>
      </c>
      <c r="D51" s="39">
        <f>_xlfn.COVARIANCE.P($C$6:$C$41,$D$6:$D$41)*12</f>
        <v>6.4954377777777794E-3</v>
      </c>
      <c r="E51" s="39">
        <f>_xlfn.COVARIANCE.P($C$6:$C$41,$E$6:$E$41)*12</f>
        <v>7.685867777777777E-3</v>
      </c>
      <c r="F51" s="39">
        <f>_xlfn.COVARIANCE.P($C$6:$C$41,$F$6:$F$41)*12</f>
        <v>6.7549694444444452E-3</v>
      </c>
    </row>
    <row r="52" spans="1:6" x14ac:dyDescent="0.2">
      <c r="A52" s="5" t="s">
        <v>279</v>
      </c>
      <c r="B52" s="39">
        <f>_xlfn.COVARIANCE.P($D$6:$D$41,$B$6:$B$41)*12</f>
        <v>1.2639044814814815E-2</v>
      </c>
      <c r="C52" s="39">
        <f>_xlfn.COVARIANCE.P($D$6:$D$41,$C$6:$C$41)*12</f>
        <v>6.4954377777777794E-3</v>
      </c>
      <c r="D52" s="39">
        <f>_xlfn.COVARIANCE.P($D$6:$D$41,$D$6:$D$41)*12</f>
        <v>3.6479024074074079E-2</v>
      </c>
      <c r="E52" s="39">
        <f>_xlfn.COVARIANCE.P($D$6:$D$41,$E$6:$E$41)*12</f>
        <v>2.1330785185185177E-3</v>
      </c>
      <c r="F52" s="39">
        <f>_xlfn.COVARIANCE.P($D$6:$D$41,$F$6:$F$41)*12</f>
        <v>7.4346624074074063E-3</v>
      </c>
    </row>
    <row r="53" spans="1:6" x14ac:dyDescent="0.2">
      <c r="A53" s="5" t="s">
        <v>280</v>
      </c>
      <c r="B53" s="39">
        <f>_xlfn.COVARIANCE.P($E$6:$E$41,$B$6:$B$41)*12</f>
        <v>1.1075040370370368E-2</v>
      </c>
      <c r="C53" s="39">
        <f>_xlfn.COVARIANCE.P($E$6:$E$41,$C$6:$C$41)*12</f>
        <v>7.685867777777777E-3</v>
      </c>
      <c r="D53" s="39">
        <f>_xlfn.COVARIANCE.P($E$6:$E$41,$D$6:$D$41)*12</f>
        <v>2.1330785185185177E-3</v>
      </c>
      <c r="E53" s="39">
        <f>_xlfn.COVARIANCE.P($E$6:$E$41,$E$6:$E$41)*12</f>
        <v>2.4618682962962969E-2</v>
      </c>
      <c r="F53" s="39">
        <f>_xlfn.COVARIANCE.P($E$6:$E$41,$F$6:$F$41)*12</f>
        <v>6.0248251851851859E-3</v>
      </c>
    </row>
    <row r="54" spans="1:6" x14ac:dyDescent="0.2">
      <c r="A54" s="5" t="s">
        <v>281</v>
      </c>
      <c r="B54" s="39">
        <f>_xlfn.COVARIANCE.P($F$6:$F$41,$B$6:$B$41)*12</f>
        <v>1.3754533148148156E-2</v>
      </c>
      <c r="C54" s="39">
        <f>_xlfn.COVARIANCE.P($F$6:$F$41,$C$6:$C$41)*12</f>
        <v>6.7549694444444452E-3</v>
      </c>
      <c r="D54" s="39">
        <f>_xlfn.COVARIANCE.P($F$6:$F$41,$D$6:$D$41)*12</f>
        <v>7.4346624074074063E-3</v>
      </c>
      <c r="E54" s="39">
        <f>_xlfn.COVARIANCE.P($F$6:$F$41,$E$6:$E$41)*12</f>
        <v>6.0248251851851859E-3</v>
      </c>
      <c r="F54" s="39">
        <f>_xlfn.COVARIANCE.P($F$6:$F$41,$F$6:$F$41)*12</f>
        <v>3.4517376574074068E-2</v>
      </c>
    </row>
    <row r="56" spans="1:6" ht="18" customHeight="1" x14ac:dyDescent="0.2">
      <c r="A56" s="47" t="s">
        <v>326</v>
      </c>
      <c r="B56" s="48"/>
      <c r="C56" s="48"/>
      <c r="D56" s="48"/>
      <c r="E56" s="48"/>
      <c r="F56" s="48"/>
    </row>
    <row r="57" spans="1:6" x14ac:dyDescent="0.2">
      <c r="A57" s="3"/>
      <c r="B57" s="11" t="s">
        <v>277</v>
      </c>
      <c r="C57" s="11" t="s">
        <v>278</v>
      </c>
      <c r="D57" s="11" t="s">
        <v>279</v>
      </c>
      <c r="E57" s="11" t="s">
        <v>280</v>
      </c>
      <c r="F57" s="11" t="s">
        <v>281</v>
      </c>
    </row>
    <row r="58" spans="1:6" x14ac:dyDescent="0.2">
      <c r="A58" s="5" t="s">
        <v>277</v>
      </c>
      <c r="B58" s="40">
        <f>CORREL($B$6:$B$41,$B$6:$B$41)</f>
        <v>0.99999999999999978</v>
      </c>
      <c r="C58" s="40">
        <f>CORREL($B$6:$B$41,$C$6:$C$41)</f>
        <v>0.1786148238995672</v>
      </c>
      <c r="D58" s="40">
        <f>CORREL($B$6:$B$41,$D$6:$D$41)</f>
        <v>0.28857134528834505</v>
      </c>
      <c r="E58" s="40">
        <f>CORREL($B$6:$B$41,$E$6:$E$41)</f>
        <v>0.30780343780767461</v>
      </c>
      <c r="F58" s="40">
        <f>CORREL($B$6:$B$41,$F$6:$F$41)</f>
        <v>0.32284013474204237</v>
      </c>
    </row>
    <row r="59" spans="1:6" x14ac:dyDescent="0.2">
      <c r="A59" s="5" t="s">
        <v>278</v>
      </c>
      <c r="B59" s="40">
        <f>CORREL($C$6:$C$41,$B$6:$B$41)</f>
        <v>0.1786148238995672</v>
      </c>
      <c r="C59" s="40">
        <f>CORREL($C$6:$C$41,$C$6:$C$41)</f>
        <v>1.0000000000000002</v>
      </c>
      <c r="D59" s="40">
        <f>CORREL($C$6:$C$41,$D$6:$D$41)</f>
        <v>0.26449929393698746</v>
      </c>
      <c r="E59" s="40">
        <f>CORREL($C$6:$C$41,$E$6:$E$41)</f>
        <v>0.38097650807341604</v>
      </c>
      <c r="F59" s="40">
        <f>CORREL($C$6:$C$41,$F$6:$F$41)</f>
        <v>0.28277577043550295</v>
      </c>
    </row>
    <row r="60" spans="1:6" x14ac:dyDescent="0.2">
      <c r="A60" s="5" t="s">
        <v>279</v>
      </c>
      <c r="B60" s="40">
        <f>CORREL($D$6:$D$41,$B$6:$B$41)</f>
        <v>0.28857134528834505</v>
      </c>
      <c r="C60" s="40">
        <f>CORREL($D$6:$D$41,$C$6:$C$41)</f>
        <v>0.26449929393698746</v>
      </c>
      <c r="D60" s="40">
        <f>CORREL($D$6:$D$41,$D$6:$D$41)</f>
        <v>1.0000000000000002</v>
      </c>
      <c r="E60" s="40">
        <f>CORREL($D$6:$D$41,$E$6:$E$41)</f>
        <v>7.1179155127574112E-2</v>
      </c>
      <c r="F60" s="40">
        <f>CORREL($D$6:$D$41,$F$6:$F$41)</f>
        <v>0.20951771886930293</v>
      </c>
    </row>
    <row r="61" spans="1:6" x14ac:dyDescent="0.2">
      <c r="A61" s="5" t="s">
        <v>280</v>
      </c>
      <c r="B61" s="40">
        <f>CORREL($E$6:$E$41,$B$6:$B$41)</f>
        <v>0.30780343780767461</v>
      </c>
      <c r="C61" s="40">
        <f>CORREL($E$6:$E$41,$C$6:$C$41)</f>
        <v>0.38097650807341604</v>
      </c>
      <c r="D61" s="40">
        <f>CORREL($E$6:$E$41,$D$6:$D$41)</f>
        <v>7.1179155127574112E-2</v>
      </c>
      <c r="E61" s="40">
        <f>CORREL($E$6:$E$41,$E$6:$E$41)</f>
        <v>1</v>
      </c>
      <c r="F61" s="40">
        <f>CORREL($E$6:$E$41,$F$6:$F$41)</f>
        <v>0.20667747732533245</v>
      </c>
    </row>
    <row r="62" spans="1:6" x14ac:dyDescent="0.2">
      <c r="A62" s="5" t="s">
        <v>281</v>
      </c>
      <c r="B62" s="40">
        <f>CORREL($F$6:$F$41,$B$6:$B$41)</f>
        <v>0.32284013474204237</v>
      </c>
      <c r="C62" s="40">
        <f>CORREL($F$6:$F$41,$C$6:$C$41)</f>
        <v>0.28277577043550295</v>
      </c>
      <c r="D62" s="40">
        <f>CORREL($F$6:$F$41,$D$6:$D$41)</f>
        <v>0.20951771886930293</v>
      </c>
      <c r="E62" s="40">
        <f>CORREL($F$6:$F$41,$E$6:$E$41)</f>
        <v>0.20667747732533245</v>
      </c>
      <c r="F62" s="40">
        <f>CORREL($F$6:$F$41,$F$6:$F$41)</f>
        <v>1.0000000000000002</v>
      </c>
    </row>
    <row r="64" spans="1:6" ht="18" customHeight="1" x14ac:dyDescent="0.2">
      <c r="A64" s="47" t="s">
        <v>327</v>
      </c>
      <c r="B64" s="48"/>
      <c r="C64" s="48"/>
      <c r="D64" s="48"/>
      <c r="E64" s="48"/>
      <c r="F64" s="48"/>
    </row>
    <row r="65" spans="1:6" x14ac:dyDescent="0.2">
      <c r="A65" s="3"/>
      <c r="B65" s="11" t="s">
        <v>277</v>
      </c>
      <c r="C65" s="11" t="s">
        <v>278</v>
      </c>
      <c r="D65" s="11" t="s">
        <v>279</v>
      </c>
      <c r="E65" s="11" t="s">
        <v>280</v>
      </c>
      <c r="F65" s="11" t="s">
        <v>281</v>
      </c>
    </row>
    <row r="66" spans="1:6" x14ac:dyDescent="0.2">
      <c r="A66" s="5" t="s">
        <v>328</v>
      </c>
      <c r="B66" s="8">
        <v>0.2</v>
      </c>
      <c r="C66" s="8">
        <v>0.2</v>
      </c>
      <c r="D66" s="8">
        <v>0.2</v>
      </c>
      <c r="E66" s="8">
        <v>0.2</v>
      </c>
      <c r="F66" s="8">
        <v>0.2</v>
      </c>
    </row>
    <row r="67" spans="1:6" x14ac:dyDescent="0.2">
      <c r="A67" s="5" t="s">
        <v>329</v>
      </c>
      <c r="B67" s="36">
        <f>SUM(B66:F66)</f>
        <v>1</v>
      </c>
    </row>
    <row r="68" spans="1:6" x14ac:dyDescent="0.2">
      <c r="A68" s="3" t="s">
        <v>330</v>
      </c>
      <c r="B68" s="17">
        <f>Assumptions!$B$73</f>
        <v>4.2000000000000003E-2</v>
      </c>
    </row>
    <row r="69" spans="1:6" x14ac:dyDescent="0.2">
      <c r="A69" s="5" t="s">
        <v>331</v>
      </c>
      <c r="B69" s="36">
        <f>SUMPRODUCT(B66:F66,$B$45:$F$45)</f>
        <v>0.10008666666666666</v>
      </c>
    </row>
    <row r="70" spans="1:6" x14ac:dyDescent="0.2">
      <c r="A70" s="5" t="s">
        <v>332</v>
      </c>
      <c r="B70" s="28">
        <f t="array" ref="B70">MMULT(MMULT(B66:F66,$B$50:$F$54),TRANSPOSE(B66:F66))</f>
        <v>1.2930478529629632E-2</v>
      </c>
    </row>
    <row r="71" spans="1:6" x14ac:dyDescent="0.2">
      <c r="A71" s="5" t="s">
        <v>333</v>
      </c>
      <c r="B71" s="36">
        <f>SQRT(B70)</f>
        <v>0.11371226200207976</v>
      </c>
    </row>
    <row r="72" spans="1:6" x14ac:dyDescent="0.2">
      <c r="A72" s="5" t="s">
        <v>334</v>
      </c>
      <c r="B72" s="41">
        <f>(B69-B68)/B71</f>
        <v>0.51082148612613354</v>
      </c>
    </row>
    <row r="73" spans="1:6" x14ac:dyDescent="0.2">
      <c r="A73" s="5" t="s">
        <v>335</v>
      </c>
      <c r="B73" s="36">
        <f>MIN(K6:K41)</f>
        <v>-0.11870250132894167</v>
      </c>
    </row>
    <row r="75" spans="1:6" ht="18" customHeight="1" x14ac:dyDescent="0.2">
      <c r="A75" s="47" t="s">
        <v>336</v>
      </c>
      <c r="B75" s="48"/>
      <c r="C75" s="48"/>
      <c r="D75" s="48"/>
      <c r="E75" s="48"/>
      <c r="F75" s="48"/>
    </row>
    <row r="76" spans="1:6" x14ac:dyDescent="0.2">
      <c r="A76" s="5" t="s">
        <v>337</v>
      </c>
      <c r="B76" s="5" t="s">
        <v>338</v>
      </c>
      <c r="C76" s="5" t="s">
        <v>339</v>
      </c>
      <c r="D76" s="5" t="s">
        <v>340</v>
      </c>
      <c r="E76" s="5" t="s">
        <v>341</v>
      </c>
    </row>
    <row r="77" spans="1:6" x14ac:dyDescent="0.2">
      <c r="A77" s="3" t="s">
        <v>277</v>
      </c>
      <c r="B77" s="23">
        <f>B45</f>
        <v>0.15593333333333331</v>
      </c>
      <c r="C77" s="6">
        <v>1</v>
      </c>
      <c r="D77" s="42">
        <f t="array" ref="D77:D81">MMULT(MINVERSE($B$50:$F$54),$C$77:$C$81)</f>
        <v>3.2894887515134723</v>
      </c>
      <c r="E77" s="42">
        <f t="array" ref="E77:E81">MMULT(MINVERSE($B$50:$F$54),$B$77:$B$81)</f>
        <v>2.7800727117960573</v>
      </c>
    </row>
    <row r="78" spans="1:6" x14ac:dyDescent="0.2">
      <c r="A78" s="3" t="s">
        <v>278</v>
      </c>
      <c r="B78" s="23">
        <f>C45</f>
        <v>0.16779999999999995</v>
      </c>
      <c r="C78" s="6">
        <v>1</v>
      </c>
      <c r="D78" s="42">
        <v>37.318855798208133</v>
      </c>
      <c r="E78" s="42">
        <v>10.893512688404419</v>
      </c>
    </row>
    <row r="79" spans="1:6" x14ac:dyDescent="0.2">
      <c r="A79" s="3" t="s">
        <v>279</v>
      </c>
      <c r="B79" s="23">
        <f>D45</f>
        <v>0.10166666666666666</v>
      </c>
      <c r="C79" s="6">
        <v>1</v>
      </c>
      <c r="D79" s="42">
        <v>15.64028395479836</v>
      </c>
      <c r="E79" s="42">
        <v>0.51249946576685879</v>
      </c>
    </row>
    <row r="80" spans="1:6" x14ac:dyDescent="0.2">
      <c r="A80" s="3" t="s">
        <v>280</v>
      </c>
      <c r="B80" s="23">
        <f>E45</f>
        <v>5.9466666666666682E-2</v>
      </c>
      <c r="C80" s="6">
        <v>1</v>
      </c>
      <c r="D80" s="42">
        <v>22.956951502401989</v>
      </c>
      <c r="E80" s="42">
        <v>-1.6410937952936009</v>
      </c>
    </row>
    <row r="81" spans="1:6" x14ac:dyDescent="0.2">
      <c r="A81" s="3" t="s">
        <v>281</v>
      </c>
      <c r="B81" s="23">
        <f>F45</f>
        <v>1.5566666666666659E-2</v>
      </c>
      <c r="C81" s="6">
        <v>1</v>
      </c>
      <c r="D81" s="42">
        <v>12.981144021768099</v>
      </c>
      <c r="E81" s="42">
        <v>-2.6126040617288826</v>
      </c>
    </row>
    <row r="83" spans="1:6" x14ac:dyDescent="0.2">
      <c r="A83" s="5" t="s">
        <v>342</v>
      </c>
      <c r="B83" s="43">
        <f>SUM($D$77:$D$81)</f>
        <v>92.186724028690065</v>
      </c>
    </row>
    <row r="84" spans="1:6" x14ac:dyDescent="0.2">
      <c r="A84" s="5" t="s">
        <v>343</v>
      </c>
      <c r="B84" s="43">
        <f>SUMPRODUCT($B$77:$B$81,$D$77:$D$81)</f>
        <v>9.932387008944854</v>
      </c>
    </row>
    <row r="85" spans="1:6" x14ac:dyDescent="0.2">
      <c r="A85" s="5" t="s">
        <v>344</v>
      </c>
      <c r="B85" s="43">
        <f>SUMPRODUCT($B$77:$B$81,$E$77:$E$81)</f>
        <v>2.1752816320722514</v>
      </c>
    </row>
    <row r="86" spans="1:6" x14ac:dyDescent="0.2">
      <c r="A86" s="5" t="s">
        <v>345</v>
      </c>
      <c r="B86" s="43">
        <f>B83*B85-B84^2</f>
        <v>101.87977580506667</v>
      </c>
    </row>
    <row r="88" spans="1:6" ht="18" customHeight="1" x14ac:dyDescent="0.2">
      <c r="A88" s="47" t="s">
        <v>346</v>
      </c>
      <c r="B88" s="48"/>
      <c r="C88" s="48"/>
      <c r="D88" s="48"/>
      <c r="E88" s="48"/>
      <c r="F88" s="48"/>
    </row>
    <row r="89" spans="1:6" x14ac:dyDescent="0.2">
      <c r="A89" s="3"/>
      <c r="B89" s="11" t="s">
        <v>277</v>
      </c>
      <c r="C89" s="11" t="s">
        <v>278</v>
      </c>
      <c r="D89" s="11" t="s">
        <v>279</v>
      </c>
      <c r="E89" s="11" t="s">
        <v>280</v>
      </c>
      <c r="F89" s="11" t="s">
        <v>281</v>
      </c>
    </row>
    <row r="90" spans="1:6" x14ac:dyDescent="0.2">
      <c r="A90" s="5" t="s">
        <v>347</v>
      </c>
      <c r="B90" s="23">
        <f>D77/$B$83</f>
        <v>3.5682890201085005E-2</v>
      </c>
      <c r="C90" s="23">
        <f>D78/$B$83</f>
        <v>0.40481811444556676</v>
      </c>
      <c r="D90" s="23">
        <f>D79/$B$83</f>
        <v>0.16965874554703603</v>
      </c>
      <c r="E90" s="23">
        <f>D80/$B$83</f>
        <v>0.24902665480614539</v>
      </c>
      <c r="F90" s="23">
        <f>D81/$B$83</f>
        <v>0.14081359500016671</v>
      </c>
    </row>
    <row r="91" spans="1:6" x14ac:dyDescent="0.2">
      <c r="A91" s="5" t="s">
        <v>348</v>
      </c>
      <c r="B91" s="36">
        <f>SUMPRODUCT(B90:F90,$B$45:$F$45)</f>
        <v>0.10774205411457864</v>
      </c>
    </row>
    <row r="92" spans="1:6" x14ac:dyDescent="0.2">
      <c r="A92" s="5" t="s">
        <v>349</v>
      </c>
      <c r="B92" s="36">
        <f>SQRT(1/B83)</f>
        <v>0.10415156712390272</v>
      </c>
    </row>
    <row r="94" spans="1:6" ht="18" customHeight="1" x14ac:dyDescent="0.2">
      <c r="A94" s="47" t="s">
        <v>350</v>
      </c>
      <c r="B94" s="48"/>
      <c r="C94" s="48"/>
      <c r="D94" s="48"/>
      <c r="E94" s="48"/>
      <c r="F94" s="48"/>
    </row>
    <row r="95" spans="1:6" x14ac:dyDescent="0.2">
      <c r="A95" s="3"/>
      <c r="B95" s="11" t="s">
        <v>277</v>
      </c>
      <c r="C95" s="11" t="s">
        <v>278</v>
      </c>
      <c r="D95" s="11" t="s">
        <v>279</v>
      </c>
      <c r="E95" s="11" t="s">
        <v>280</v>
      </c>
      <c r="F95" s="11" t="s">
        <v>281</v>
      </c>
    </row>
    <row r="96" spans="1:6" x14ac:dyDescent="0.2">
      <c r="A96" s="3" t="s">
        <v>351</v>
      </c>
      <c r="B96" s="44">
        <f>E77-$B$68*D77</f>
        <v>2.6419141842324914</v>
      </c>
      <c r="C96" s="44">
        <f>E78-$B$68*D78</f>
        <v>9.3261207448796775</v>
      </c>
      <c r="D96" s="44">
        <f>E79-$B$68*D79</f>
        <v>-0.14439246033467235</v>
      </c>
      <c r="E96" s="44">
        <f>E80-$B$68*D80</f>
        <v>-2.6052857583944844</v>
      </c>
      <c r="F96" s="44">
        <f>E81-$B$68*D81</f>
        <v>-3.1578121106431429</v>
      </c>
    </row>
    <row r="97" spans="1:6" x14ac:dyDescent="0.2">
      <c r="A97" s="5" t="s">
        <v>352</v>
      </c>
      <c r="B97" s="23">
        <f>B96/SUM(B96:F96)</f>
        <v>0.43592026108443904</v>
      </c>
      <c r="C97" s="23">
        <f>C96/SUM(B96:F96)</f>
        <v>1.5388255282008767</v>
      </c>
      <c r="D97" s="23">
        <f>D96/SUM(B96:F96)</f>
        <v>-2.3824997565543852E-2</v>
      </c>
      <c r="E97" s="23">
        <f>E96/SUM(B96:F96)</f>
        <v>-0.42987650953122397</v>
      </c>
      <c r="F97" s="23">
        <f>F96/SUM(B96:F96)</f>
        <v>-0.52104428218854826</v>
      </c>
    </row>
    <row r="98" spans="1:6" x14ac:dyDescent="0.2">
      <c r="A98" s="5" t="s">
        <v>348</v>
      </c>
      <c r="B98" s="36">
        <f>SUMPRODUCT(B97:F97,$B$45:$F$45)</f>
        <v>0.29009296916518512</v>
      </c>
    </row>
    <row r="99" spans="1:6" x14ac:dyDescent="0.2">
      <c r="A99" s="5" t="s">
        <v>353</v>
      </c>
      <c r="B99" s="28">
        <f t="array" ref="B99">MMULT(MMULT(B97:F97,$B$50:$F$54),TRANSPOSE(B97:F97))</f>
        <v>4.093575504350444E-2</v>
      </c>
    </row>
    <row r="100" spans="1:6" x14ac:dyDescent="0.2">
      <c r="A100" s="5" t="s">
        <v>354</v>
      </c>
      <c r="B100" s="36">
        <f>SQRT(B99)</f>
        <v>0.20232586350613813</v>
      </c>
    </row>
    <row r="101" spans="1:6" x14ac:dyDescent="0.2">
      <c r="A101" s="5" t="s">
        <v>334</v>
      </c>
      <c r="B101" s="41">
        <f>(B98-B68)/B100</f>
        <v>1.2262049194598323</v>
      </c>
    </row>
    <row r="103" spans="1:6" ht="18" customHeight="1" x14ac:dyDescent="0.2">
      <c r="A103" s="47" t="s">
        <v>355</v>
      </c>
      <c r="B103" s="48"/>
      <c r="C103" s="48"/>
      <c r="D103" s="48"/>
      <c r="E103" s="48"/>
      <c r="F103" s="48"/>
    </row>
    <row r="104" spans="1:6" x14ac:dyDescent="0.2">
      <c r="A104" s="5" t="s">
        <v>356</v>
      </c>
      <c r="B104" s="8">
        <v>0.1</v>
      </c>
    </row>
    <row r="105" spans="1:6" x14ac:dyDescent="0.2">
      <c r="A105" s="3" t="s">
        <v>357</v>
      </c>
      <c r="B105" s="43">
        <f>(B85-B84*B104)/B86</f>
        <v>1.1602331491575395E-2</v>
      </c>
    </row>
    <row r="106" spans="1:6" x14ac:dyDescent="0.2">
      <c r="A106" s="3" t="s">
        <v>358</v>
      </c>
      <c r="B106" s="43">
        <f>(B83*B104-B84)/B86</f>
        <v>-7.00545913490666E-3</v>
      </c>
    </row>
    <row r="107" spans="1:6" x14ac:dyDescent="0.2">
      <c r="A107" s="5" t="s">
        <v>359</v>
      </c>
      <c r="B107" s="23">
        <f>$B$105*D77+$B$106*E77</f>
        <v>1.8690053158311369E-2</v>
      </c>
      <c r="C107" s="23">
        <f>$B$105*D78+$B$106*E78</f>
        <v>0.35667167788290688</v>
      </c>
      <c r="D107" s="23">
        <f>$B$105*D79+$B$106*E79</f>
        <v>0.17787346500184714</v>
      </c>
      <c r="E107" s="23">
        <f>$B$105*D80+$B$106*E80</f>
        <v>0.27785077688636584</v>
      </c>
      <c r="F107" s="23">
        <f>$B$105*D81+$B$106*E81</f>
        <v>0.16891402707056855</v>
      </c>
    </row>
    <row r="108" spans="1:6" x14ac:dyDescent="0.2">
      <c r="A108" s="5" t="s">
        <v>360</v>
      </c>
      <c r="B108" s="36">
        <f>SQRT((B83*B104^2-2*B84*B104+B85)/B86)</f>
        <v>0.104411616107044</v>
      </c>
    </row>
    <row r="110" spans="1:6" ht="18" customHeight="1" x14ac:dyDescent="0.2">
      <c r="A110" s="47" t="s">
        <v>361</v>
      </c>
      <c r="B110" s="48"/>
      <c r="C110" s="48"/>
      <c r="D110" s="48"/>
      <c r="E110" s="48"/>
      <c r="F110" s="48"/>
    </row>
    <row r="111" spans="1:6" x14ac:dyDescent="0.2">
      <c r="A111" s="5" t="s">
        <v>362</v>
      </c>
      <c r="B111" s="5" t="s">
        <v>354</v>
      </c>
      <c r="C111" s="5" t="s">
        <v>363</v>
      </c>
    </row>
    <row r="112" spans="1:6" x14ac:dyDescent="0.2">
      <c r="A112" s="23">
        <f>$B$91+(0/14)*(MAX($B$45:$F$45)*1.3-$B$91)</f>
        <v>0.10774205411457864</v>
      </c>
      <c r="B112" s="23">
        <f>SQRT((B83*A112^2-2*B84*A112+B85)/B86)</f>
        <v>0.10415156712390271</v>
      </c>
      <c r="C112" s="40">
        <f t="shared" ref="C112:C126" si="4">(A112-$B$68)/B112</f>
        <v>0.63121521768721323</v>
      </c>
    </row>
    <row r="113" spans="1:4" x14ac:dyDescent="0.2">
      <c r="A113" s="23">
        <f>$B$91+(1/14)*(MAX($B$45:$F$45)*1.3-$B$91)</f>
        <v>0.11562762167782302</v>
      </c>
      <c r="B113" s="23">
        <f>SQRT((B83*A113^2-2*B84*A113+B85)/B86)</f>
        <v>0.10442133388268038</v>
      </c>
      <c r="C113" s="40">
        <f t="shared" si="4"/>
        <v>0.70510133265052188</v>
      </c>
    </row>
    <row r="114" spans="1:4" x14ac:dyDescent="0.2">
      <c r="A114" s="23">
        <f>$B$91+(2/14)*(MAX($B$45:$F$45)*1.3-$B$91)</f>
        <v>0.1235131892410674</v>
      </c>
      <c r="B114" s="23">
        <f>SQRT((B83*A114^2-2*B84*A114+B85)/B86)</f>
        <v>0.10522648467120066</v>
      </c>
      <c r="C114" s="40">
        <f t="shared" si="4"/>
        <v>0.77464518078096234</v>
      </c>
    </row>
    <row r="115" spans="1:4" x14ac:dyDescent="0.2">
      <c r="A115" s="23">
        <f>$B$91+(3/14)*(MAX($B$45:$F$45)*1.3-$B$91)</f>
        <v>0.13139875680431179</v>
      </c>
      <c r="B115" s="23">
        <f>SQRT((B83*A115^2-2*B84*A115+B85)/B86)</f>
        <v>0.10655488376243226</v>
      </c>
      <c r="C115" s="40">
        <f t="shared" si="4"/>
        <v>0.83899257967029794</v>
      </c>
    </row>
    <row r="116" spans="1:4" x14ac:dyDescent="0.2">
      <c r="A116" s="23">
        <f>$B$91+(4/14)*(MAX($B$45:$F$45)*1.3-$B$91)</f>
        <v>0.13928432436755617</v>
      </c>
      <c r="B116" s="23">
        <f>SQRT((B83*A116^2-2*B84*A116+B85)/B86)</f>
        <v>0.10838729400598243</v>
      </c>
      <c r="C116" s="40">
        <f t="shared" si="4"/>
        <v>0.89756207367061447</v>
      </c>
    </row>
    <row r="117" spans="1:4" x14ac:dyDescent="0.2">
      <c r="A117" s="23">
        <f>$B$91+(5/14)*(MAX($B$45:$F$45)*1.3-$B$91)</f>
        <v>0.14716989193080054</v>
      </c>
      <c r="B117" s="23">
        <f>SQRT((B83*A117^2-2*B84*A117+B85)/B86)</f>
        <v>0.11069868933822075</v>
      </c>
      <c r="C117" s="40">
        <f t="shared" si="4"/>
        <v>0.95005543931484204</v>
      </c>
    </row>
    <row r="118" spans="1:4" x14ac:dyDescent="0.2">
      <c r="A118" s="23">
        <f>$B$91+(6/14)*(MAX($B$45:$F$45)*1.3-$B$91)</f>
        <v>0.15505545949404492</v>
      </c>
      <c r="B118" s="23">
        <f>SQRT((B83*A118^2-2*B84*A118+B85)/B86)</f>
        <v>0.11345979997958464</v>
      </c>
      <c r="C118" s="40">
        <f t="shared" si="4"/>
        <v>0.99643626654010953</v>
      </c>
    </row>
    <row r="119" spans="1:4" x14ac:dyDescent="0.2">
      <c r="A119" s="23">
        <f>$B$91+(7/14)*(MAX($B$45:$F$45)*1.3-$B$91)</f>
        <v>0.1629410270572893</v>
      </c>
      <c r="B119" s="23">
        <f>SQRT((B83*A119^2-2*B84*A119+B85)/B86)</f>
        <v>0.11663869286202413</v>
      </c>
      <c r="C119" s="40">
        <f t="shared" si="4"/>
        <v>1.0368859946017617</v>
      </c>
    </row>
    <row r="120" spans="1:4" x14ac:dyDescent="0.2">
      <c r="A120" s="23">
        <f>$B$91+(8/14)*(MAX($B$45:$F$45)*1.3-$B$91)</f>
        <v>0.17082659462053368</v>
      </c>
      <c r="B120" s="23">
        <f>SQRT((B83*A120^2-2*B84*A120+B85)/B86)</f>
        <v>0.12020222628829576</v>
      </c>
      <c r="C120" s="40">
        <f t="shared" si="4"/>
        <v>1.0717488236162367</v>
      </c>
    </row>
    <row r="121" spans="1:4" x14ac:dyDescent="0.2">
      <c r="A121" s="23">
        <f>$B$91+(9/14)*(MAX($B$45:$F$45)*1.3-$B$91)</f>
        <v>0.17871216218377806</v>
      </c>
      <c r="B121" s="23">
        <f>SQRT((B83*A121^2-2*B84*A121+B85)/B86)</f>
        <v>0.12411727441299428</v>
      </c>
      <c r="C121" s="40">
        <f t="shared" si="4"/>
        <v>1.1014757037676712</v>
      </c>
    </row>
    <row r="122" spans="1:4" x14ac:dyDescent="0.2">
      <c r="A122" s="23">
        <f>$B$91+(10/14)*(MAX($B$45:$F$45)*1.3-$B$91)</f>
        <v>0.18659772974702243</v>
      </c>
      <c r="B122" s="23">
        <f>SQRT((B83*A122^2-2*B84*A122+B85)/B86)</f>
        <v>0.12835167502492983</v>
      </c>
      <c r="C122" s="40">
        <f t="shared" si="4"/>
        <v>1.126574543876713</v>
      </c>
    </row>
    <row r="123" spans="1:4" x14ac:dyDescent="0.2">
      <c r="A123" s="23">
        <f>$B$91+(11/14)*(MAX($B$45:$F$45)*1.3-$B$91)</f>
        <v>0.19448329731026681</v>
      </c>
      <c r="B123" s="23">
        <f>SQRT((B83*A123^2-2*B84*A123+B85)/B86)</f>
        <v>0.13287490066467286</v>
      </c>
      <c r="C123" s="40">
        <f t="shared" si="4"/>
        <v>1.1475703578893224</v>
      </c>
    </row>
    <row r="124" spans="1:4" x14ac:dyDescent="0.2">
      <c r="A124" s="23">
        <f>$B$91+(12/14)*(MAX($B$45:$F$45)*1.3-$B$91)</f>
        <v>0.20236886487351119</v>
      </c>
      <c r="B124" s="23">
        <f>SQRT((B83*A124^2-2*B84*A124+B85)/B86)</f>
        <v>0.13765848336566464</v>
      </c>
      <c r="C124" s="40">
        <f t="shared" si="4"/>
        <v>1.164976258292201</v>
      </c>
    </row>
    <row r="125" spans="1:4" x14ac:dyDescent="0.2">
      <c r="A125" s="23">
        <f>$B$91+(13/14)*(MAX($B$45:$F$45)*1.3-$B$91)</f>
        <v>0.21025443243675557</v>
      </c>
      <c r="B125" s="23">
        <f>SQRT((B83*A125^2-2*B84*A125+B85)/B86)</f>
        <v>0.14267623813855643</v>
      </c>
      <c r="C125" s="40">
        <f t="shared" si="4"/>
        <v>1.1792743811577056</v>
      </c>
    </row>
    <row r="126" spans="1:4" x14ac:dyDescent="0.2">
      <c r="A126" s="23">
        <f>$B$91+(14/14)*(MAX($B$45:$F$45)*1.3-$B$91)</f>
        <v>0.21813999999999995</v>
      </c>
      <c r="B126" s="23">
        <f>SQRT((B83*A126^2-2*B84*A126+B85)/B86)</f>
        <v>0.14790433356447663</v>
      </c>
      <c r="C126" s="40">
        <f t="shared" si="4"/>
        <v>1.190904929930362</v>
      </c>
    </row>
    <row r="128" spans="1:4" x14ac:dyDescent="0.2">
      <c r="A128" s="5" t="s">
        <v>364</v>
      </c>
      <c r="B128" s="23">
        <f>B92</f>
        <v>0.10415156712390272</v>
      </c>
      <c r="C128" s="23">
        <f>B91</f>
        <v>0.10774205411457864</v>
      </c>
      <c r="D128" s="3" t="s">
        <v>365</v>
      </c>
    </row>
    <row r="129" spans="1:4" x14ac:dyDescent="0.2">
      <c r="A129" s="5" t="s">
        <v>366</v>
      </c>
      <c r="B129" s="23">
        <f>B100</f>
        <v>0.20232586350613813</v>
      </c>
      <c r="C129" s="23">
        <f>B98</f>
        <v>0.29009296916518512</v>
      </c>
      <c r="D129" s="3" t="s">
        <v>365</v>
      </c>
    </row>
    <row r="130" spans="1:4" x14ac:dyDescent="0.2">
      <c r="A130" s="5" t="s">
        <v>367</v>
      </c>
      <c r="B130" s="23">
        <f>B71</f>
        <v>0.11371226200207976</v>
      </c>
      <c r="C130" s="23">
        <f>B69</f>
        <v>0.10008666666666666</v>
      </c>
      <c r="D130" s="3" t="s">
        <v>365</v>
      </c>
    </row>
  </sheetData>
  <mergeCells count="12">
    <mergeCell ref="A94:F94"/>
    <mergeCell ref="A75:F75"/>
    <mergeCell ref="A103:F103"/>
    <mergeCell ref="A110:F110"/>
    <mergeCell ref="A1:I1"/>
    <mergeCell ref="A88:F88"/>
    <mergeCell ref="A56:F56"/>
    <mergeCell ref="A4:F4"/>
    <mergeCell ref="A48:F48"/>
    <mergeCell ref="A64:F64"/>
    <mergeCell ref="A43:F43"/>
    <mergeCell ref="A2:I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I37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I1"/>
    </sheetView>
  </sheetViews>
  <sheetFormatPr baseColWidth="10" defaultColWidth="8.83203125" defaultRowHeight="15" x14ac:dyDescent="0.2"/>
  <cols>
    <col min="1" max="1" width="40" customWidth="1"/>
    <col min="2" max="9" width="13" customWidth="1"/>
    <col min="10" max="10" width="16" customWidth="1"/>
  </cols>
  <sheetData>
    <row r="1" spans="1:9" ht="26" customHeight="1" x14ac:dyDescent="0.2">
      <c r="A1" s="46" t="s">
        <v>368</v>
      </c>
      <c r="B1" s="48"/>
      <c r="C1" s="48"/>
      <c r="D1" s="48"/>
      <c r="E1" s="48"/>
      <c r="F1" s="48"/>
      <c r="G1" s="48"/>
      <c r="H1" s="48"/>
      <c r="I1" s="48"/>
    </row>
    <row r="2" spans="1:9" x14ac:dyDescent="0.2">
      <c r="A2" s="45" t="s">
        <v>369</v>
      </c>
      <c r="B2" s="48"/>
      <c r="C2" s="48"/>
      <c r="D2" s="48"/>
      <c r="E2" s="48"/>
      <c r="F2" s="48"/>
      <c r="G2" s="48"/>
      <c r="H2" s="48"/>
      <c r="I2" s="48"/>
    </row>
    <row r="4" spans="1:9" ht="18" customHeight="1" x14ac:dyDescent="0.2">
      <c r="A4" s="47" t="s">
        <v>370</v>
      </c>
      <c r="B4" s="48"/>
      <c r="C4" s="48"/>
      <c r="D4" s="48"/>
      <c r="E4" s="48"/>
      <c r="F4" s="48"/>
      <c r="G4" s="48"/>
      <c r="H4" s="48"/>
      <c r="I4" s="48"/>
    </row>
    <row r="5" spans="1:9" x14ac:dyDescent="0.2">
      <c r="A5" s="3"/>
      <c r="B5" s="30" t="s">
        <v>166</v>
      </c>
      <c r="C5" s="30" t="s">
        <v>167</v>
      </c>
      <c r="D5" s="30" t="s">
        <v>168</v>
      </c>
      <c r="E5" s="30" t="s">
        <v>118</v>
      </c>
      <c r="F5" s="30" t="s">
        <v>119</v>
      </c>
      <c r="G5" s="30" t="s">
        <v>120</v>
      </c>
      <c r="H5" s="30" t="s">
        <v>121</v>
      </c>
      <c r="I5" s="30" t="s">
        <v>122</v>
      </c>
    </row>
    <row r="6" spans="1:9" x14ac:dyDescent="0.2">
      <c r="A6" s="5" t="s">
        <v>371</v>
      </c>
      <c r="B6" s="25">
        <f>Model!B42</f>
        <v>0</v>
      </c>
      <c r="C6" s="25">
        <f>Model!C42</f>
        <v>0</v>
      </c>
      <c r="D6" s="25">
        <f>Model!D42</f>
        <v>0</v>
      </c>
      <c r="E6" s="25">
        <f>Model!E42</f>
        <v>0</v>
      </c>
      <c r="F6" s="25">
        <f>Model!F42</f>
        <v>0</v>
      </c>
      <c r="G6" s="25">
        <f>Model!G42</f>
        <v>0</v>
      </c>
      <c r="H6" s="25">
        <f>Model!H42</f>
        <v>0</v>
      </c>
      <c r="I6" s="25">
        <f>Model!I42</f>
        <v>0</v>
      </c>
    </row>
    <row r="7" spans="1:9" x14ac:dyDescent="0.2">
      <c r="A7" s="5" t="s">
        <v>372</v>
      </c>
      <c r="B7" s="5" t="str">
        <f t="shared" ref="B7:I7" si="0">IF(ABS(B6)&lt;0.01,"OK","FAIL")</f>
        <v>OK</v>
      </c>
      <c r="C7" s="5" t="str">
        <f t="shared" si="0"/>
        <v>OK</v>
      </c>
      <c r="D7" s="5" t="str">
        <f t="shared" si="0"/>
        <v>OK</v>
      </c>
      <c r="E7" s="5" t="str">
        <f t="shared" si="0"/>
        <v>OK</v>
      </c>
      <c r="F7" s="5" t="str">
        <f t="shared" si="0"/>
        <v>OK</v>
      </c>
      <c r="G7" s="5" t="str">
        <f t="shared" si="0"/>
        <v>OK</v>
      </c>
      <c r="H7" s="5" t="str">
        <f t="shared" si="0"/>
        <v>OK</v>
      </c>
      <c r="I7" s="5" t="str">
        <f t="shared" si="0"/>
        <v>OK</v>
      </c>
    </row>
    <row r="9" spans="1:9" ht="18" customHeight="1" x14ac:dyDescent="0.2">
      <c r="A9" s="47" t="s">
        <v>373</v>
      </c>
      <c r="B9" s="48"/>
      <c r="C9" s="48"/>
      <c r="D9" s="48"/>
      <c r="E9" s="48"/>
      <c r="F9" s="48"/>
      <c r="G9" s="48"/>
      <c r="H9" s="48"/>
      <c r="I9" s="48"/>
    </row>
    <row r="10" spans="1:9" x14ac:dyDescent="0.2">
      <c r="A10" s="3"/>
      <c r="B10" s="30" t="s">
        <v>166</v>
      </c>
      <c r="C10" s="30" t="s">
        <v>167</v>
      </c>
      <c r="D10" s="30" t="s">
        <v>168</v>
      </c>
      <c r="E10" s="30" t="s">
        <v>118</v>
      </c>
      <c r="F10" s="30" t="s">
        <v>119</v>
      </c>
      <c r="G10" s="30" t="s">
        <v>120</v>
      </c>
      <c r="H10" s="30" t="s">
        <v>121</v>
      </c>
      <c r="I10" s="30" t="s">
        <v>122</v>
      </c>
    </row>
    <row r="11" spans="1:9" x14ac:dyDescent="0.2">
      <c r="A11" s="5" t="s">
        <v>374</v>
      </c>
      <c r="B11" s="25">
        <f>Model!B25-Model!B61</f>
        <v>0</v>
      </c>
      <c r="C11" s="25">
        <f>Model!C25-Model!C61</f>
        <v>0</v>
      </c>
      <c r="D11" s="25">
        <f>Model!D25-Model!D61</f>
        <v>0</v>
      </c>
      <c r="E11" s="25">
        <f>Model!E25-Model!E61</f>
        <v>0</v>
      </c>
      <c r="F11" s="25">
        <f>Model!F25-Model!F61</f>
        <v>0</v>
      </c>
      <c r="G11" s="25">
        <f>Model!G25-Model!G61</f>
        <v>0</v>
      </c>
      <c r="H11" s="25">
        <f>Model!H25-Model!H61</f>
        <v>0</v>
      </c>
      <c r="I11" s="25">
        <f>Model!I25-Model!I61</f>
        <v>0</v>
      </c>
    </row>
    <row r="12" spans="1:9" x14ac:dyDescent="0.2">
      <c r="A12" s="5" t="s">
        <v>372</v>
      </c>
      <c r="B12" s="5" t="str">
        <f t="shared" ref="B12:I12" si="1">IF(ABS(B11)&lt;0.01,"OK","FAIL")</f>
        <v>OK</v>
      </c>
      <c r="C12" s="5" t="str">
        <f t="shared" si="1"/>
        <v>OK</v>
      </c>
      <c r="D12" s="5" t="str">
        <f t="shared" si="1"/>
        <v>OK</v>
      </c>
      <c r="E12" s="5" t="str">
        <f t="shared" si="1"/>
        <v>OK</v>
      </c>
      <c r="F12" s="5" t="str">
        <f t="shared" si="1"/>
        <v>OK</v>
      </c>
      <c r="G12" s="5" t="str">
        <f t="shared" si="1"/>
        <v>OK</v>
      </c>
      <c r="H12" s="5" t="str">
        <f t="shared" si="1"/>
        <v>OK</v>
      </c>
      <c r="I12" s="5" t="str">
        <f t="shared" si="1"/>
        <v>OK</v>
      </c>
    </row>
    <row r="14" spans="1:9" ht="18" customHeight="1" x14ac:dyDescent="0.2">
      <c r="A14" s="47" t="s">
        <v>375</v>
      </c>
      <c r="B14" s="48"/>
      <c r="C14" s="48"/>
      <c r="D14" s="48"/>
      <c r="E14" s="48"/>
      <c r="F14" s="48"/>
      <c r="G14" s="48"/>
      <c r="H14" s="48"/>
      <c r="I14" s="48"/>
    </row>
    <row r="15" spans="1:9" x14ac:dyDescent="0.2">
      <c r="A15" s="3" t="s">
        <v>376</v>
      </c>
    </row>
    <row r="16" spans="1:9" x14ac:dyDescent="0.2">
      <c r="A16" s="3"/>
      <c r="B16" s="30" t="s">
        <v>166</v>
      </c>
      <c r="C16" s="30" t="s">
        <v>167</v>
      </c>
      <c r="D16" s="30" t="s">
        <v>168</v>
      </c>
      <c r="E16" s="30" t="s">
        <v>118</v>
      </c>
      <c r="F16" s="30" t="s">
        <v>119</v>
      </c>
      <c r="G16" s="30" t="s">
        <v>120</v>
      </c>
      <c r="H16" s="30" t="s">
        <v>121</v>
      </c>
      <c r="I16" s="30" t="s">
        <v>122</v>
      </c>
    </row>
    <row r="17" spans="1:9" x14ac:dyDescent="0.2">
      <c r="A17" s="5" t="s">
        <v>377</v>
      </c>
      <c r="B17" s="25">
        <f>Model!B39-(Assumptions!$B$22+Model!B19-Model!B20)</f>
        <v>0</v>
      </c>
      <c r="C17" s="25">
        <f>Model!C39-(Model!B39+Model!C19-Model!C20)</f>
        <v>0</v>
      </c>
      <c r="D17" s="25">
        <f>Model!D39-(Model!C39+Model!D19-Model!D20)</f>
        <v>0</v>
      </c>
      <c r="E17" s="25">
        <f>Model!E39-(Model!D39+Model!E19-Model!E20)</f>
        <v>0</v>
      </c>
      <c r="F17" s="25">
        <f>Model!F39-(Model!E39+Model!F19-Model!F20)</f>
        <v>0</v>
      </c>
      <c r="G17" s="25">
        <f>Model!G39-(Model!F39+Model!G19-Model!G20)</f>
        <v>0</v>
      </c>
      <c r="H17" s="25">
        <f>Model!H39-(Model!G39+Model!H19-Model!H20)</f>
        <v>0</v>
      </c>
      <c r="I17" s="25">
        <f>Model!I39-(Model!H39+Model!I19-Model!I20)</f>
        <v>0</v>
      </c>
    </row>
    <row r="18" spans="1:9" x14ac:dyDescent="0.2">
      <c r="A18" s="5" t="s">
        <v>372</v>
      </c>
      <c r="B18" s="5" t="str">
        <f t="shared" ref="B18:I18" si="2">IF(ABS(B17)&lt;0.01,"OK","FAIL")</f>
        <v>OK</v>
      </c>
      <c r="C18" s="5" t="str">
        <f t="shared" si="2"/>
        <v>OK</v>
      </c>
      <c r="D18" s="5" t="str">
        <f t="shared" si="2"/>
        <v>OK</v>
      </c>
      <c r="E18" s="5" t="str">
        <f t="shared" si="2"/>
        <v>OK</v>
      </c>
      <c r="F18" s="5" t="str">
        <f t="shared" si="2"/>
        <v>OK</v>
      </c>
      <c r="G18" s="5" t="str">
        <f t="shared" si="2"/>
        <v>OK</v>
      </c>
      <c r="H18" s="5" t="str">
        <f t="shared" si="2"/>
        <v>OK</v>
      </c>
      <c r="I18" s="5" t="str">
        <f t="shared" si="2"/>
        <v>OK</v>
      </c>
    </row>
    <row r="20" spans="1:9" ht="18" customHeight="1" x14ac:dyDescent="0.2">
      <c r="A20" s="47" t="s">
        <v>378</v>
      </c>
      <c r="B20" s="48"/>
      <c r="C20" s="48"/>
      <c r="D20" s="48"/>
      <c r="E20" s="48"/>
      <c r="F20" s="48"/>
      <c r="G20" s="48"/>
      <c r="H20" s="48"/>
      <c r="I20" s="48"/>
    </row>
    <row r="21" spans="1:9" x14ac:dyDescent="0.2">
      <c r="A21" s="3"/>
      <c r="B21" s="30" t="s">
        <v>166</v>
      </c>
      <c r="C21" s="30" t="s">
        <v>167</v>
      </c>
      <c r="D21" s="30" t="s">
        <v>168</v>
      </c>
      <c r="E21" s="30" t="s">
        <v>118</v>
      </c>
      <c r="F21" s="30" t="s">
        <v>119</v>
      </c>
      <c r="G21" s="30" t="s">
        <v>120</v>
      </c>
      <c r="H21" s="30" t="s">
        <v>121</v>
      </c>
      <c r="I21" s="30" t="s">
        <v>122</v>
      </c>
    </row>
    <row r="22" spans="1:9" x14ac:dyDescent="0.2">
      <c r="A22" s="5" t="s">
        <v>379</v>
      </c>
      <c r="B22" s="25">
        <f>Model!B35-(Assumptions!$B$24+Model!B56)</f>
        <v>0</v>
      </c>
      <c r="C22" s="25">
        <f>Model!C35-(Model!B35+Model!C56)</f>
        <v>0</v>
      </c>
      <c r="D22" s="25">
        <f>Model!D35-(Model!C35+Model!D56)</f>
        <v>0</v>
      </c>
      <c r="E22" s="25">
        <f>Model!E35-(Model!D35+Model!E56)</f>
        <v>0</v>
      </c>
      <c r="F22" s="25">
        <f>Model!F35-(Model!E35+Model!F56)</f>
        <v>0</v>
      </c>
      <c r="G22" s="25">
        <f>Model!G35-(Model!F35+Model!G56)</f>
        <v>0</v>
      </c>
      <c r="H22" s="25">
        <f>Model!H35-(Model!G35+Model!H56)</f>
        <v>0</v>
      </c>
      <c r="I22" s="25">
        <f>Model!I35-(Model!H35+Model!I56)</f>
        <v>0</v>
      </c>
    </row>
    <row r="23" spans="1:9" x14ac:dyDescent="0.2">
      <c r="A23" s="5" t="s">
        <v>372</v>
      </c>
      <c r="B23" s="5" t="str">
        <f t="shared" ref="B23:I23" si="3">IF(ABS(B22)&lt;0.01,"OK","FAIL")</f>
        <v>OK</v>
      </c>
      <c r="C23" s="5" t="str">
        <f t="shared" si="3"/>
        <v>OK</v>
      </c>
      <c r="D23" s="5" t="str">
        <f t="shared" si="3"/>
        <v>OK</v>
      </c>
      <c r="E23" s="5" t="str">
        <f t="shared" si="3"/>
        <v>OK</v>
      </c>
      <c r="F23" s="5" t="str">
        <f t="shared" si="3"/>
        <v>OK</v>
      </c>
      <c r="G23" s="5" t="str">
        <f t="shared" si="3"/>
        <v>OK</v>
      </c>
      <c r="H23" s="5" t="str">
        <f t="shared" si="3"/>
        <v>OK</v>
      </c>
      <c r="I23" s="5" t="str">
        <f t="shared" si="3"/>
        <v>OK</v>
      </c>
    </row>
    <row r="25" spans="1:9" ht="18" customHeight="1" x14ac:dyDescent="0.2">
      <c r="A25" s="47" t="s">
        <v>380</v>
      </c>
      <c r="B25" s="48"/>
      <c r="C25" s="48"/>
      <c r="D25" s="48"/>
      <c r="E25" s="48"/>
      <c r="F25" s="48"/>
    </row>
    <row r="26" spans="1:9" x14ac:dyDescent="0.2">
      <c r="A26" s="3" t="s">
        <v>381</v>
      </c>
      <c r="B26" s="25">
        <f>DCF!B37-(DCF!B23+DCF!B29)</f>
        <v>0</v>
      </c>
      <c r="C26" s="5" t="str">
        <f>IF(ABS(B26)&lt;0.01,"OK","FAIL")</f>
        <v>OK</v>
      </c>
    </row>
    <row r="27" spans="1:9" x14ac:dyDescent="0.2">
      <c r="A27" s="5" t="s">
        <v>382</v>
      </c>
      <c r="B27" s="5" t="str">
        <f>IF(DCF!B26&lt;DCF!B14,"OK","FAIL - g &gt;= WACC")</f>
        <v>OK</v>
      </c>
    </row>
    <row r="28" spans="1:9" x14ac:dyDescent="0.2">
      <c r="A28" s="5" t="s">
        <v>383</v>
      </c>
      <c r="B28" s="25">
        <f>DCF!B42*DCF!B41-DCF!B40</f>
        <v>0</v>
      </c>
      <c r="C28" s="5" t="str">
        <f>IF(ABS(B28)&lt;0.01,"OK","FAIL")</f>
        <v>OK</v>
      </c>
    </row>
    <row r="30" spans="1:9" ht="18" customHeight="1" x14ac:dyDescent="0.2">
      <c r="A30" s="47" t="s">
        <v>384</v>
      </c>
      <c r="B30" s="48"/>
      <c r="C30" s="48"/>
      <c r="D30" s="48"/>
      <c r="E30" s="48"/>
      <c r="F30" s="48"/>
    </row>
    <row r="31" spans="1:9" x14ac:dyDescent="0.2">
      <c r="A31" s="5" t="s">
        <v>385</v>
      </c>
      <c r="B31" s="5" t="str">
        <f>IF(ABS(Portfolio!B67-1)&lt;0.001,"OK","FAIL")</f>
        <v>OK</v>
      </c>
    </row>
    <row r="32" spans="1:9" x14ac:dyDescent="0.2">
      <c r="A32" s="3" t="s">
        <v>386</v>
      </c>
      <c r="B32" s="39">
        <f>Portfolio!B69-SUMPRODUCT(Portfolio!B66:F66,Portfolio!B45:F45)</f>
        <v>0</v>
      </c>
    </row>
    <row r="33" spans="1:6" x14ac:dyDescent="0.2">
      <c r="A33" s="3" t="s">
        <v>387</v>
      </c>
      <c r="B33" s="5" t="str">
        <f>IF(ABS(SUM(Portfolio!B90:F90)-1)&lt;0.001,"OK","FAIL")</f>
        <v>OK</v>
      </c>
    </row>
    <row r="34" spans="1:6" x14ac:dyDescent="0.2">
      <c r="A34" s="3" t="s">
        <v>388</v>
      </c>
      <c r="B34" s="5" t="str">
        <f>IF(ABS(SUM(Portfolio!B97:F97)-1)&lt;0.001,"OK","FAIL")</f>
        <v>OK</v>
      </c>
    </row>
    <row r="36" spans="1:6" ht="18" customHeight="1" x14ac:dyDescent="0.2">
      <c r="A36" s="47" t="s">
        <v>389</v>
      </c>
      <c r="B36" s="48"/>
      <c r="C36" s="48"/>
      <c r="D36" s="48"/>
      <c r="E36" s="48"/>
      <c r="F36" s="48"/>
    </row>
    <row r="37" spans="1:6" x14ac:dyDescent="0.2">
      <c r="A37" s="5" t="s">
        <v>390</v>
      </c>
    </row>
  </sheetData>
  <mergeCells count="9">
    <mergeCell ref="A2:I2"/>
    <mergeCell ref="A36:F36"/>
    <mergeCell ref="A14:I14"/>
    <mergeCell ref="A1:I1"/>
    <mergeCell ref="A9:I9"/>
    <mergeCell ref="A30:F30"/>
    <mergeCell ref="A4:I4"/>
    <mergeCell ref="A20:I20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Assumptions</vt:lpstr>
      <vt:lpstr>Scenarios</vt:lpstr>
      <vt:lpstr>Model</vt:lpstr>
      <vt:lpstr>DCF</vt:lpstr>
      <vt:lpstr>Sensitivity</vt:lpstr>
      <vt:lpstr>Portfolio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Maanas Pabbathi</cp:lastModifiedBy>
  <dcterms:created xsi:type="dcterms:W3CDTF">2026-08-27T03:25:46Z</dcterms:created>
  <dcterms:modified xsi:type="dcterms:W3CDTF">2026-08-29T03:41:44Z</dcterms:modified>
</cp:coreProperties>
</file>